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ingkasan" sheetId="1" r:id="rId4"/>
    <sheet name="198204262025211027" sheetId="2" r:id="rId5"/>
    <sheet name="198210062025211034" sheetId="3" r:id="rId6"/>
  </sheets>
  <definedNames>
    <definedName name="_xlnm._FilterDatabase" localSheetId="0" hidden="1">'Ringkasan'!$A$4:$K$6</definedName>
    <definedName name="_xlnm._FilterDatabase" localSheetId="1" hidden="1">'198204262025211027'!$A$10:$S$22</definedName>
    <definedName name="_xlnm._FilterDatabase" localSheetId="2" hidden="1">'198210062025211034'!$A$10:$S$22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<sst xmlns="http://schemas.openxmlformats.org/spreadsheetml/2006/main" uniqueCount="75">
  <si>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Perhitungan Pegawai Disiplin (2025)</t>
  </si>
  <si>
    <t>Catatan: PPPK dihitung mulai bulan TMT pada tahun berjalan.</t>
  </si>
  <si>
    <t>NIP</t>
  </si>
  <si>
    <t>Nama</t>
  </si>
  <si>
    <t>Jabatan</t>
  </si>
  <si>
    <t>Gol</t>
  </si>
  <si>
    <t>TMT</t>
  </si>
  <si>
    <t>PPPK</t>
  </si>
  <si>
    <t>Start Bulan</t>
  </si>
  <si>
    <t>Bulan Dinilai</t>
  </si>
  <si>
    <t>Rata-rata Total (Dinilai)</t>
  </si>
  <si>
    <t>Rata-rata Total (12 bulan)</t>
  </si>
  <si>
    <t>Datang &lt;08 (Dinilai)</t>
  </si>
  <si>
    <t>198204262025211027</t>
  </si>
  <si>
    <t>AMIN NUR</t>
  </si>
  <si>
    <t>Operator Layanan Operasional</t>
  </si>
  <si>
    <t>V</t>
  </si>
  <si>
    <t>2025-09-01</t>
  </si>
  <si>
    <t>Ya</t>
  </si>
  <si>
    <t>198210062025211034</t>
  </si>
  <si>
    <t>ADI IRAWAN</t>
  </si>
  <si>
    <t>Pengelola Umum Operasional</t>
  </si>
  <si>
    <t>I</t>
  </si>
  <si>
    <t>Perhitungan Pegawai Disiplin</t>
  </si>
  <si>
    <t>Start Bulan Penilaian</t>
  </si>
  <si>
    <t>Bulan</t>
  </si>
  <si>
    <t>Nama Bulan</t>
  </si>
  <si>
    <t>File Rekap</t>
  </si>
  <si>
    <t>Total Hari Kerja</t>
  </si>
  <si>
    <t>Excused Days (0%)</t>
  </si>
  <si>
    <t>Effective Days</t>
  </si>
  <si>
    <t>Hadir Tepat Waktu (E)</t>
  </si>
  <si>
    <t>Pulang Tepat Waktu (L)</t>
  </si>
  <si>
    <t>Penalti Terlambat</t>
  </si>
  <si>
    <t>Penalti Pulang Awal</t>
  </si>
  <si>
    <t>Total Penalti</t>
  </si>
  <si>
    <t>Izin Berlebih</t>
  </si>
  <si>
    <t>Score 1 (50%)</t>
  </si>
  <si>
    <t>Score 2 (35%)</t>
  </si>
  <si>
    <t>Score 3 (15%)</t>
  </si>
  <si>
    <t>Total Skor</t>
  </si>
  <si>
    <t>Dinilai (1/0)</t>
  </si>
  <si>
    <t>Datang &lt;08 (bulan)</t>
  </si>
  <si>
    <t>Catatan</t>
  </si>
  <si>
    <t>Januari</t>
  </si>
  <si>
    <t>02_rekap_kehadiran_1600_401877_PA Penajam_Januari_2025.xlsx</t>
  </si>
  <si>
    <t>Sebelum TMT (PPPK)</t>
  </si>
  <si>
    <t>Februari</t>
  </si>
  <si>
    <t>02_rekap_kehadiran_1600_401877_PA Penajam_Februari_2025.xlsx</t>
  </si>
  <si>
    <t>Maret</t>
  </si>
  <si>
    <t>02_rekap_kehadiran_1600_401877_PA Penajam_Maret_2025.xlsx</t>
  </si>
  <si>
    <t>April</t>
  </si>
  <si>
    <t>02_rekap_kehadiran_1600_401877_PA Penajam_April_2025.xlsx</t>
  </si>
  <si>
    <t>Mei</t>
  </si>
  <si>
    <t>02_rekap_kehadiran_1600_401877_PA Penajam_Mei_2025.xlsx</t>
  </si>
  <si>
    <t>Juni</t>
  </si>
  <si>
    <t>02_rekap_kehadiran_1600_401877_PA Penajam_Juni_2025.xlsx</t>
  </si>
  <si>
    <t>Juli</t>
  </si>
  <si>
    <t>02_rekap_kehadiran_1600_401877_PA Penajam_Juli_2025.xlsx</t>
  </si>
  <si>
    <t>Agustus</t>
  </si>
  <si>
    <t>02_rekap_kehadiran_1600_401877_PA Penajam_Agustus_2025.xlsx</t>
  </si>
  <si>
    <t>September</t>
  </si>
  <si>
    <t>02_rekap_kehadiran_1600_401877_PA Penajam_September_2025.xlsx</t>
  </si>
  <si>
    <t>Oktober</t>
  </si>
  <si>
    <t>02_rekap_kehadiran_1600_401877_PA Penajam_Oktober_2025.xlsx</t>
  </si>
  <si>
    <t>November</t>
  </si>
  <si>
    <t>02_rekap_kehadiran_1600_401877_PA Penajam_November_2025.xlsx</t>
  </si>
  <si>
    <t>Desember</t>
  </si>
  <si>
    <t>02_rekap_kehadiran_1600_401877_PA Penajam_Desember_2025.xlsx</t>
  </si>
  <si>
    <t>Ringkasan (Dinilai)</t>
  </si>
  <si>
    <t>Rata-rata Score 1</t>
  </si>
  <si>
    <t>Rata-rata Score 2</t>
  </si>
  <si>
    <t>Rata-rata Score 3</t>
  </si>
  <si>
    <t>Rata-rata Total Skor</t>
  </si>
  <si>
    <t>Total Datang &lt;08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</si>
</sst>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2" fillId="0" borderId="0" applyFont="0" applyNumberFormat="1" applyFill="0" applyBorder="0" applyAlignment="0"/>
    <xf xfId="0" fontId="0" numFmtId="1" fillId="0" borderId="0" applyFont="0" applyNumberFormat="1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K7"/>
  <sheetViews>
    <sheetView tabSelected="1" workbookViewId="0" showGridLines="true" showRowColHeaders="1">
      <pane ySplit="4" activePane="bottomLeft" state="frozen" topLeftCell="A5"/>
      <selection pane="bottomLeft" activeCell="K5" sqref="K5:K7"/>
    </sheetView>
  </sheetViews>
  <sheetFormatPr defaultRowHeight="14.4" outlineLevelRow="0" outlineLevelCol="0"/>
  <cols>
    <col min="1" max="1" width="22.28" bestFit="true" customWidth="true" style="0"/>
    <col min="2" max="2" width="12.854" bestFit="true" customWidth="true" style="0"/>
    <col min="3" max="3" width="34.135" bestFit="true" customWidth="true" style="0"/>
    <col min="4" max="4" width="9.283" bestFit="true" customWidth="true" style="0"/>
    <col min="5" max="5" width="12.854" bestFit="true" customWidth="true" style="0"/>
    <col min="6" max="6" width="10.569" bestFit="true" customWidth="true" style="0"/>
    <col min="7" max="7" width="18.71" bestFit="true" customWidth="true" style="0"/>
    <col min="8" max="8" width="21.138" bestFit="true" customWidth="true" style="0"/>
    <col min="9" max="9" width="35.277" bestFit="true" customWidth="true" style="0"/>
    <col min="10" max="10" width="36.42" bestFit="true" customWidth="true" style="0"/>
    <col min="11" max="11" width="29.421" bestFit="true" customWidth="true" style="0"/>
  </cols>
  <sheetData>
    <row r="1" spans="1:11">
      <c r="A1" s="1" t="s">
        <v>0</v>
      </c>
    </row>
    <row r="2" spans="1:11">
      <c r="A2" s="1" t="s">
        <v>1</v>
      </c>
    </row>
    <row r="4" spans="1:1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spans="1:11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s="4">
        <v>9</v>
      </c>
      <c r="H5" s="4">
        <v>4</v>
      </c>
      <c r="I5" s="3">
        <v>98.13</v>
      </c>
      <c r="J5" s="3">
        <v>66.040000000000006</v>
      </c>
      <c r="K5" s="4">
        <v>80</v>
      </c>
    </row>
    <row r="6" spans="1:11">
      <c r="A6" t="s">
        <v>19</v>
      </c>
      <c r="B6" t="s">
        <v>20</v>
      </c>
      <c r="C6" t="s">
        <v>21</v>
      </c>
      <c r="D6" t="s">
        <v>22</v>
      </c>
      <c r="E6" t="s">
        <v>17</v>
      </c>
      <c r="F6" t="s">
        <v>18</v>
      </c>
      <c r="G6" s="4">
        <v>9</v>
      </c>
      <c r="H6" s="4">
        <v>4</v>
      </c>
      <c r="I6" s="3">
        <v>97.31999999999999</v>
      </c>
      <c r="J6" s="3">
        <v>65.77</v>
      </c>
      <c r="K6" s="4">
        <v>78</v>
      </c>
    </row>
    <row r="7" spans="1:11">
      <c r="G7" s="4"/>
      <c r="H7" s="4"/>
      <c r="I7" s="3"/>
      <c r="J7" s="3"/>
      <c r="K7" s="4"/>
    </row>
  </sheetData>
  <autoFilter ref="A4:K6"/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S29"/>
  <sheetViews>
    <sheetView tabSelected="0" workbookViewId="0" showGridLines="true" showRowColHeaders="1">
      <pane ySplit="10" activePane="bottomLeft" state="frozen" topLeftCell="A11"/>
      <selection pane="bottomLeft" activeCell="A10" sqref="A10:S10"/>
    </sheetView>
  </sheetViews>
  <sheetFormatPr defaultRowHeight="14.4" outlineLevelRow="0" outlineLevelCol="0"/>
  <cols>
    <col min="1" max="1" width="25.851" bestFit="true" customWidth="true" style="0"/>
    <col min="2" max="2" width="34.135" bestFit="true" customWidth="true" style="0"/>
    <col min="3" max="3" width="72.982" bestFit="true" customWidth="true" style="0"/>
    <col min="4" max="4" width="24.708" bestFit="true" customWidth="true" style="0"/>
    <col min="5" max="5" width="25.851" bestFit="true" customWidth="true" style="0"/>
    <col min="6" max="6" width="22.28" bestFit="true" customWidth="true" style="0"/>
    <col min="7" max="7" width="30.564" bestFit="true" customWidth="true" style="0"/>
    <col min="8" max="8" width="31.707" bestFit="true" customWidth="true" style="0"/>
    <col min="9" max="9" width="25.851" bestFit="true" customWidth="true" style="0"/>
    <col min="10" max="10" width="28.136" bestFit="true" customWidth="true" style="0"/>
    <col min="11" max="11" width="21.138" bestFit="true" customWidth="true" style="0"/>
    <col min="12" max="12" width="21.138" bestFit="true" customWidth="true" style="0"/>
    <col min="13" max="13" width="21.138" bestFit="true" customWidth="true" style="0"/>
    <col min="14" max="14" width="21.138" bestFit="true" customWidth="true" style="0"/>
    <col min="15" max="15" width="21.138" bestFit="true" customWidth="true" style="0"/>
    <col min="16" max="16" width="17.567" bestFit="true" customWidth="true" style="0"/>
    <col min="17" max="17" width="21.138" bestFit="true" customWidth="true" style="0"/>
    <col min="18" max="18" width="26.993" bestFit="true" customWidth="true" style="0"/>
    <col min="19" max="19" width="22.28" bestFit="true" customWidth="true" style="0"/>
  </cols>
  <sheetData>
    <row r="1" spans="1:19">
      <c r="A1" s="5" t="s">
        <v>23</v>
      </c>
    </row>
    <row r="2" spans="1:19">
      <c r="A2" t="s">
        <v>2</v>
      </c>
      <c r="B2" t="s">
        <v>13</v>
      </c>
    </row>
    <row r="3" spans="1:19">
      <c r="A3" t="s">
        <v>3</v>
      </c>
      <c r="B3" t="s">
        <v>14</v>
      </c>
    </row>
    <row r="4" spans="1:19">
      <c r="A4" t="s">
        <v>4</v>
      </c>
      <c r="B4" t="s">
        <v>15</v>
      </c>
    </row>
    <row r="5" spans="1:19">
      <c r="A5" t="s">
        <v>5</v>
      </c>
      <c r="B5" t="s">
        <v>16</v>
      </c>
    </row>
    <row r="6" spans="1:19">
      <c r="A6" t="s">
        <v>6</v>
      </c>
      <c r="B6" t="s">
        <v>17</v>
      </c>
    </row>
    <row r="7" spans="1:19">
      <c r="A7" t="s">
        <v>7</v>
      </c>
      <c r="B7" t="s">
        <v>18</v>
      </c>
    </row>
    <row r="8" spans="1:19">
      <c r="A8" t="s">
        <v>24</v>
      </c>
      <c r="B8">
        <v>9</v>
      </c>
    </row>
    <row r="10" spans="1:19">
      <c r="A10" s="2" t="s">
        <v>25</v>
      </c>
      <c r="B10" s="2" t="s">
        <v>26</v>
      </c>
      <c r="C10" s="2" t="s">
        <v>27</v>
      </c>
      <c r="D10" s="2" t="s">
        <v>28</v>
      </c>
      <c r="E10" s="2" t="s">
        <v>29</v>
      </c>
      <c r="F10" s="2" t="s">
        <v>30</v>
      </c>
      <c r="G10" s="2" t="s">
        <v>31</v>
      </c>
      <c r="H10" s="2" t="s">
        <v>32</v>
      </c>
      <c r="I10" s="2" t="s">
        <v>33</v>
      </c>
      <c r="J10" s="2" t="s">
        <v>34</v>
      </c>
      <c r="K10" s="2" t="s">
        <v>35</v>
      </c>
      <c r="L10" s="2" t="s">
        <v>36</v>
      </c>
      <c r="M10" s="2" t="s">
        <v>37</v>
      </c>
      <c r="N10" s="2" t="s">
        <v>38</v>
      </c>
      <c r="O10" s="2" t="s">
        <v>39</v>
      </c>
      <c r="P10" s="2" t="s">
        <v>40</v>
      </c>
      <c r="Q10" s="2" t="s">
        <v>41</v>
      </c>
      <c r="R10" s="2" t="s">
        <v>42</v>
      </c>
      <c r="S10" s="2" t="s">
        <v>43</v>
      </c>
    </row>
    <row r="11" spans="1:19">
      <c r="A11">
        <v>1</v>
      </c>
      <c r="B11" t="s">
        <v>44</v>
      </c>
      <c r="C11" t="s">
        <v>45</v>
      </c>
      <c r="D11" s="3">
        <v>19</v>
      </c>
      <c r="E11" s="3">
        <v>0</v>
      </c>
      <c r="F11" s="3">
        <v>19</v>
      </c>
      <c r="G11" s="3">
        <v>0</v>
      </c>
      <c r="H11" s="3">
        <v>0</v>
      </c>
      <c r="I11" s="3">
        <v>0.0</v>
      </c>
      <c r="J11" s="3">
        <v>0.0</v>
      </c>
      <c r="K11" s="3">
        <f>ROUND(I11+J11,2)</f>
        <v>0</v>
      </c>
      <c r="L11" s="3">
        <v>0</v>
      </c>
      <c r="M11" s="3">
        <f>IF(F11=0,0,ROUND(((G11+H11)/(F11*2))*50,2))</f>
        <v>0</v>
      </c>
      <c r="N11" s="3">
        <f>ROUND(MAX(0,(100-K11)*0.35),2)</f>
        <v>35</v>
      </c>
      <c r="O11" s="3">
        <f>IF(L11&gt;0,0,15)</f>
        <v>15</v>
      </c>
      <c r="P11" s="3">
        <f>ROUND(M11+N11+O11,2)</f>
        <v>50</v>
      </c>
      <c r="Q11" s="3">
        <v>0</v>
      </c>
      <c r="R11" s="3">
        <v>0</v>
      </c>
      <c r="S11" t="s">
        <v>46</v>
      </c>
    </row>
    <row r="12" spans="1:19">
      <c r="A12">
        <v>2</v>
      </c>
      <c r="B12" t="s">
        <v>47</v>
      </c>
      <c r="C12" t="s">
        <v>48</v>
      </c>
      <c r="D12" s="3">
        <v>20</v>
      </c>
      <c r="E12" s="3">
        <v>0</v>
      </c>
      <c r="F12" s="3">
        <v>20</v>
      </c>
      <c r="G12" s="3">
        <v>0</v>
      </c>
      <c r="H12" s="3">
        <v>0</v>
      </c>
      <c r="I12" s="3">
        <v>0.0</v>
      </c>
      <c r="J12" s="3">
        <v>0.0</v>
      </c>
      <c r="K12" s="3">
        <f>ROUND(I12+J12,2)</f>
        <v>0</v>
      </c>
      <c r="L12" s="3">
        <v>0</v>
      </c>
      <c r="M12" s="3">
        <f>IF(F12=0,0,ROUND(((G12+H12)/(F12*2))*50,2))</f>
        <v>0</v>
      </c>
      <c r="N12" s="3">
        <f>ROUND(MAX(0,(100-K12)*0.35),2)</f>
        <v>35</v>
      </c>
      <c r="O12" s="3">
        <f>IF(L12&gt;0,0,15)</f>
        <v>15</v>
      </c>
      <c r="P12" s="3">
        <f>ROUND(M12+N12+O12,2)</f>
        <v>50</v>
      </c>
      <c r="Q12" s="3">
        <v>0</v>
      </c>
      <c r="R12" s="3">
        <v>0</v>
      </c>
      <c r="S12" t="s">
        <v>46</v>
      </c>
    </row>
    <row r="13" spans="1:19">
      <c r="A13">
        <v>3</v>
      </c>
      <c r="B13" t="s">
        <v>49</v>
      </c>
      <c r="C13" t="s">
        <v>50</v>
      </c>
      <c r="D13" s="3">
        <v>19</v>
      </c>
      <c r="E13" s="3">
        <v>0</v>
      </c>
      <c r="F13" s="3">
        <v>19</v>
      </c>
      <c r="G13" s="3">
        <v>0</v>
      </c>
      <c r="H13" s="3">
        <v>0</v>
      </c>
      <c r="I13" s="3">
        <v>0.0</v>
      </c>
      <c r="J13" s="3">
        <v>0.0</v>
      </c>
      <c r="K13" s="3">
        <f>ROUND(I13+J13,2)</f>
        <v>0</v>
      </c>
      <c r="L13" s="3">
        <v>0</v>
      </c>
      <c r="M13" s="3">
        <f>IF(F13=0,0,ROUND(((G13+H13)/(F13*2))*50,2))</f>
        <v>0</v>
      </c>
      <c r="N13" s="3">
        <f>ROUND(MAX(0,(100-K13)*0.35),2)</f>
        <v>35</v>
      </c>
      <c r="O13" s="3">
        <f>IF(L13&gt;0,0,15)</f>
        <v>15</v>
      </c>
      <c r="P13" s="3">
        <f>ROUND(M13+N13+O13,2)</f>
        <v>50</v>
      </c>
      <c r="Q13" s="3">
        <v>0</v>
      </c>
      <c r="R13" s="3">
        <v>0</v>
      </c>
      <c r="S13" t="s">
        <v>46</v>
      </c>
    </row>
    <row r="14" spans="1:19">
      <c r="A14">
        <v>4</v>
      </c>
      <c r="B14" t="s">
        <v>51</v>
      </c>
      <c r="C14" t="s">
        <v>52</v>
      </c>
      <c r="D14" s="3">
        <v>16</v>
      </c>
      <c r="E14" s="3">
        <v>0</v>
      </c>
      <c r="F14" s="3">
        <v>16</v>
      </c>
      <c r="G14" s="3">
        <v>0</v>
      </c>
      <c r="H14" s="3">
        <v>0</v>
      </c>
      <c r="I14" s="3">
        <v>0.0</v>
      </c>
      <c r="J14" s="3">
        <v>0.0</v>
      </c>
      <c r="K14" s="3">
        <f>ROUND(I14+J14,2)</f>
        <v>0</v>
      </c>
      <c r="L14" s="3">
        <v>0</v>
      </c>
      <c r="M14" s="3">
        <f>IF(F14=0,0,ROUND(((G14+H14)/(F14*2))*50,2))</f>
        <v>0</v>
      </c>
      <c r="N14" s="3">
        <f>ROUND(MAX(0,(100-K14)*0.35),2)</f>
        <v>35</v>
      </c>
      <c r="O14" s="3">
        <f>IF(L14&gt;0,0,15)</f>
        <v>15</v>
      </c>
      <c r="P14" s="3">
        <f>ROUND(M14+N14+O14,2)</f>
        <v>50</v>
      </c>
      <c r="Q14" s="3">
        <v>0</v>
      </c>
      <c r="R14" s="3">
        <v>0</v>
      </c>
      <c r="S14" t="s">
        <v>46</v>
      </c>
    </row>
    <row r="15" spans="1:19">
      <c r="A15">
        <v>5</v>
      </c>
      <c r="B15" t="s">
        <v>53</v>
      </c>
      <c r="C15" t="s">
        <v>54</v>
      </c>
      <c r="D15" s="3">
        <v>17</v>
      </c>
      <c r="E15" s="3">
        <v>0</v>
      </c>
      <c r="F15" s="3">
        <v>17</v>
      </c>
      <c r="G15" s="3">
        <v>0</v>
      </c>
      <c r="H15" s="3">
        <v>0</v>
      </c>
      <c r="I15" s="3">
        <v>0.0</v>
      </c>
      <c r="J15" s="3">
        <v>0.0</v>
      </c>
      <c r="K15" s="3">
        <f>ROUND(I15+J15,2)</f>
        <v>0</v>
      </c>
      <c r="L15" s="3">
        <v>0</v>
      </c>
      <c r="M15" s="3">
        <f>IF(F15=0,0,ROUND(((G15+H15)/(F15*2))*50,2))</f>
        <v>0</v>
      </c>
      <c r="N15" s="3">
        <f>ROUND(MAX(0,(100-K15)*0.35),2)</f>
        <v>35</v>
      </c>
      <c r="O15" s="3">
        <f>IF(L15&gt;0,0,15)</f>
        <v>15</v>
      </c>
      <c r="P15" s="3">
        <f>ROUND(M15+N15+O15,2)</f>
        <v>50</v>
      </c>
      <c r="Q15" s="3">
        <v>0</v>
      </c>
      <c r="R15" s="3">
        <v>0</v>
      </c>
      <c r="S15" t="s">
        <v>46</v>
      </c>
    </row>
    <row r="16" spans="1:19">
      <c r="A16">
        <v>6</v>
      </c>
      <c r="B16" t="s">
        <v>55</v>
      </c>
      <c r="C16" t="s">
        <v>56</v>
      </c>
      <c r="D16" s="3">
        <v>18</v>
      </c>
      <c r="E16" s="3">
        <v>0</v>
      </c>
      <c r="F16" s="3">
        <v>18</v>
      </c>
      <c r="G16" s="3">
        <v>0</v>
      </c>
      <c r="H16" s="3">
        <v>0</v>
      </c>
      <c r="I16" s="3">
        <v>0.0</v>
      </c>
      <c r="J16" s="3">
        <v>0.0</v>
      </c>
      <c r="K16" s="3">
        <f>ROUND(I16+J16,2)</f>
        <v>0</v>
      </c>
      <c r="L16" s="3">
        <v>0</v>
      </c>
      <c r="M16" s="3">
        <f>IF(F16=0,0,ROUND(((G16+H16)/(F16*2))*50,2))</f>
        <v>0</v>
      </c>
      <c r="N16" s="3">
        <f>ROUND(MAX(0,(100-K16)*0.35),2)</f>
        <v>35</v>
      </c>
      <c r="O16" s="3">
        <f>IF(L16&gt;0,0,15)</f>
        <v>15</v>
      </c>
      <c r="P16" s="3">
        <f>ROUND(M16+N16+O16,2)</f>
        <v>50</v>
      </c>
      <c r="Q16" s="3">
        <v>0</v>
      </c>
      <c r="R16" s="3">
        <v>0</v>
      </c>
      <c r="S16" t="s">
        <v>46</v>
      </c>
    </row>
    <row r="17" spans="1:19">
      <c r="A17">
        <v>7</v>
      </c>
      <c r="B17" t="s">
        <v>57</v>
      </c>
      <c r="C17" t="s">
        <v>58</v>
      </c>
      <c r="D17" s="3">
        <v>23</v>
      </c>
      <c r="E17" s="3">
        <v>0</v>
      </c>
      <c r="F17" s="3">
        <v>23</v>
      </c>
      <c r="G17" s="3">
        <v>0</v>
      </c>
      <c r="H17" s="3">
        <v>0</v>
      </c>
      <c r="I17" s="3">
        <v>0.0</v>
      </c>
      <c r="J17" s="3">
        <v>0.0</v>
      </c>
      <c r="K17" s="3">
        <f>ROUND(I17+J17,2)</f>
        <v>0</v>
      </c>
      <c r="L17" s="3">
        <v>0</v>
      </c>
      <c r="M17" s="3">
        <f>IF(F17=0,0,ROUND(((G17+H17)/(F17*2))*50,2))</f>
        <v>0</v>
      </c>
      <c r="N17" s="3">
        <f>ROUND(MAX(0,(100-K17)*0.35),2)</f>
        <v>35</v>
      </c>
      <c r="O17" s="3">
        <f>IF(L17&gt;0,0,15)</f>
        <v>15</v>
      </c>
      <c r="P17" s="3">
        <f>ROUND(M17+N17+O17,2)</f>
        <v>50</v>
      </c>
      <c r="Q17" s="3">
        <v>0</v>
      </c>
      <c r="R17" s="3">
        <v>0</v>
      </c>
      <c r="S17" t="s">
        <v>46</v>
      </c>
    </row>
    <row r="18" spans="1:19">
      <c r="A18">
        <v>8</v>
      </c>
      <c r="B18" t="s">
        <v>59</v>
      </c>
      <c r="C18" t="s">
        <v>60</v>
      </c>
      <c r="D18" s="3">
        <v>20</v>
      </c>
      <c r="E18" s="3">
        <v>0</v>
      </c>
      <c r="F18" s="3">
        <v>20</v>
      </c>
      <c r="G18" s="3">
        <v>0</v>
      </c>
      <c r="H18" s="3">
        <v>0</v>
      </c>
      <c r="I18" s="3">
        <v>0.0</v>
      </c>
      <c r="J18" s="3">
        <v>0.0</v>
      </c>
      <c r="K18" s="3">
        <f>ROUND(I18+J18,2)</f>
        <v>0</v>
      </c>
      <c r="L18" s="3">
        <v>0</v>
      </c>
      <c r="M18" s="3">
        <f>IF(F18=0,0,ROUND(((G18+H18)/(F18*2))*50,2))</f>
        <v>0</v>
      </c>
      <c r="N18" s="3">
        <f>ROUND(MAX(0,(100-K18)*0.35),2)</f>
        <v>35</v>
      </c>
      <c r="O18" s="3">
        <f>IF(L18&gt;0,0,15)</f>
        <v>15</v>
      </c>
      <c r="P18" s="3">
        <f>ROUND(M18+N18+O18,2)</f>
        <v>50</v>
      </c>
      <c r="Q18" s="3">
        <v>0</v>
      </c>
      <c r="R18" s="3">
        <v>0</v>
      </c>
      <c r="S18" t="s">
        <v>46</v>
      </c>
    </row>
    <row r="19" spans="1:19">
      <c r="A19">
        <v>9</v>
      </c>
      <c r="B19" t="s">
        <v>61</v>
      </c>
      <c r="C19" t="s">
        <v>62</v>
      </c>
      <c r="D19" s="3">
        <v>21</v>
      </c>
      <c r="E19" s="3">
        <v>1</v>
      </c>
      <c r="F19" s="3">
        <v>20</v>
      </c>
      <c r="G19" s="3">
        <v>20</v>
      </c>
      <c r="H19" s="3">
        <v>20</v>
      </c>
      <c r="I19" s="3">
        <v>0.0</v>
      </c>
      <c r="J19" s="3">
        <v>0.0</v>
      </c>
      <c r="K19" s="3">
        <f>ROUND(I19+J19,2)</f>
        <v>0</v>
      </c>
      <c r="L19" s="3">
        <v>0</v>
      </c>
      <c r="M19" s="3">
        <f>IF(F19=0,0,ROUND(((G19+H19)/(F19*2))*50,2))</f>
        <v>50</v>
      </c>
      <c r="N19" s="3">
        <f>ROUND(MAX(0,(100-K19)*0.35),2)</f>
        <v>35</v>
      </c>
      <c r="O19" s="3">
        <f>IF(L19&gt;0,0,15)</f>
        <v>15</v>
      </c>
      <c r="P19" s="3">
        <f>ROUND(M19+N19+O19,2)</f>
        <v>100</v>
      </c>
      <c r="Q19" s="3">
        <v>1</v>
      </c>
      <c r="R19" s="3">
        <v>20</v>
      </c>
    </row>
    <row r="20" spans="1:19">
      <c r="A20">
        <v>10</v>
      </c>
      <c r="B20" t="s">
        <v>63</v>
      </c>
      <c r="C20" t="s">
        <v>64</v>
      </c>
      <c r="D20" s="3">
        <v>23</v>
      </c>
      <c r="E20" s="3">
        <v>0</v>
      </c>
      <c r="F20" s="3">
        <v>23</v>
      </c>
      <c r="G20" s="3">
        <v>23</v>
      </c>
      <c r="H20" s="3">
        <v>23</v>
      </c>
      <c r="I20" s="3">
        <v>0.0</v>
      </c>
      <c r="J20" s="3">
        <v>0.0</v>
      </c>
      <c r="K20" s="3">
        <f>ROUND(I20+J20,2)</f>
        <v>0</v>
      </c>
      <c r="L20" s="3">
        <v>0</v>
      </c>
      <c r="M20" s="3">
        <f>IF(F20=0,0,ROUND(((G20+H20)/(F20*2))*50,2))</f>
        <v>50</v>
      </c>
      <c r="N20" s="3">
        <f>ROUND(MAX(0,(100-K20)*0.35),2)</f>
        <v>35</v>
      </c>
      <c r="O20" s="3">
        <f>IF(L20&gt;0,0,15)</f>
        <v>15</v>
      </c>
      <c r="P20" s="3">
        <f>ROUND(M20+N20+O20,2)</f>
        <v>100</v>
      </c>
      <c r="Q20" s="3">
        <v>1</v>
      </c>
      <c r="R20" s="3">
        <v>23</v>
      </c>
    </row>
    <row r="21" spans="1:19">
      <c r="A21">
        <v>11</v>
      </c>
      <c r="B21" t="s">
        <v>65</v>
      </c>
      <c r="C21" t="s">
        <v>66</v>
      </c>
      <c r="D21" s="3">
        <v>20</v>
      </c>
      <c r="E21" s="3">
        <v>1</v>
      </c>
      <c r="F21" s="3">
        <v>19</v>
      </c>
      <c r="G21" s="3">
        <v>19</v>
      </c>
      <c r="H21" s="3">
        <v>19</v>
      </c>
      <c r="I21" s="3">
        <v>0.0</v>
      </c>
      <c r="J21" s="3">
        <v>0.0</v>
      </c>
      <c r="K21" s="3">
        <f>ROUND(I21+J21,2)</f>
        <v>0</v>
      </c>
      <c r="L21" s="3">
        <v>0</v>
      </c>
      <c r="M21" s="3">
        <f>IF(F21=0,0,ROUND(((G21+H21)/(F21*2))*50,2))</f>
        <v>50</v>
      </c>
      <c r="N21" s="3">
        <f>ROUND(MAX(0,(100-K21)*0.35),2)</f>
        <v>35</v>
      </c>
      <c r="O21" s="3">
        <f>IF(L21&gt;0,0,15)</f>
        <v>15</v>
      </c>
      <c r="P21" s="3">
        <f>ROUND(M21+N21+O21,2)</f>
        <v>100</v>
      </c>
      <c r="Q21" s="3">
        <v>1</v>
      </c>
      <c r="R21" s="3">
        <v>19</v>
      </c>
    </row>
    <row r="22" spans="1:19">
      <c r="A22">
        <v>12</v>
      </c>
      <c r="B22" t="s">
        <v>67</v>
      </c>
      <c r="C22" t="s">
        <v>68</v>
      </c>
      <c r="D22" s="3">
        <v>21</v>
      </c>
      <c r="E22" s="3">
        <v>1</v>
      </c>
      <c r="F22" s="3">
        <v>20</v>
      </c>
      <c r="G22" s="3">
        <v>17</v>
      </c>
      <c r="H22" s="3">
        <v>17</v>
      </c>
      <c r="I22" s="3">
        <v>0.0</v>
      </c>
      <c r="J22" s="3">
        <v>0.0</v>
      </c>
      <c r="K22" s="3">
        <f>ROUND(I22+J22,2)</f>
        <v>0</v>
      </c>
      <c r="L22" s="3">
        <v>0</v>
      </c>
      <c r="M22" s="3">
        <f>IF(F22=0,0,ROUND(((G22+H22)/(F22*2))*50,2))</f>
        <v>42.5</v>
      </c>
      <c r="N22" s="3">
        <f>ROUND(MAX(0,(100-K22)*0.35),2)</f>
        <v>35</v>
      </c>
      <c r="O22" s="3">
        <f>IF(L22&gt;0,0,15)</f>
        <v>15</v>
      </c>
      <c r="P22" s="3">
        <f>ROUND(M22+N22+O22,2)</f>
        <v>92.5</v>
      </c>
      <c r="Q22" s="3">
        <v>1</v>
      </c>
      <c r="R22" s="3">
        <v>18</v>
      </c>
    </row>
    <row r="24" spans="1:19">
      <c r="A24" s="1" t="s">
        <v>69</v>
      </c>
    </row>
    <row r="25" spans="1:19">
      <c r="A25" t="s">
        <v>70</v>
      </c>
      <c r="B25" s="3">
        <f>ROUND(AVERAGEIF(Q11:Q22,1,M11:M22),2)</f>
        <v>48.13</v>
      </c>
    </row>
    <row r="26" spans="1:19">
      <c r="A26" t="s">
        <v>71</v>
      </c>
      <c r="B26" s="3">
        <f>ROUND(AVERAGEIF(Q11:Q22,1,N11:N22),2)</f>
        <v>35</v>
      </c>
    </row>
    <row r="27" spans="1:19">
      <c r="A27" t="s">
        <v>72</v>
      </c>
      <c r="B27" s="3">
        <f>ROUND(AVERAGEIF(Q11:Q22,1,O11:O22),2)</f>
        <v>15</v>
      </c>
    </row>
    <row r="28" spans="1:19">
      <c r="A28" t="s">
        <v>73</v>
      </c>
      <c r="B28" s="3">
        <f>ROUND(AVERAGEIF(Q11:Q22,1,P11:P22),2)</f>
        <v>98.13</v>
      </c>
    </row>
    <row r="29" spans="1:19">
      <c r="A29" t="s">
        <v>74</v>
      </c>
      <c r="B29">
        <f>SUMIF(Q11:Q22,1,R11:R22)</f>
        <v>80</v>
      </c>
    </row>
  </sheetData>
  <autoFilter ref="A10:S22"/>
  <mergeCells>
    <mergeCell ref="A1:S1"/>
    <mergeCell ref="A24:C2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S29"/>
  <sheetViews>
    <sheetView tabSelected="0" workbookViewId="0" showGridLines="true" showRowColHeaders="1">
      <pane ySplit="10" activePane="bottomLeft" state="frozen" topLeftCell="A11"/>
      <selection pane="bottomLeft" activeCell="A10" sqref="A10:S10"/>
    </sheetView>
  </sheetViews>
  <sheetFormatPr defaultRowHeight="14.4" outlineLevelRow="0" outlineLevelCol="0"/>
  <cols>
    <col min="1" max="1" width="25.851" bestFit="true" customWidth="true" style="0"/>
    <col min="2" max="2" width="31.707" bestFit="true" customWidth="true" style="0"/>
    <col min="3" max="3" width="72.982" bestFit="true" customWidth="true" style="0"/>
    <col min="4" max="4" width="24.708" bestFit="true" customWidth="true" style="0"/>
    <col min="5" max="5" width="25.851" bestFit="true" customWidth="true" style="0"/>
    <col min="6" max="6" width="22.28" bestFit="true" customWidth="true" style="0"/>
    <col min="7" max="7" width="30.564" bestFit="true" customWidth="true" style="0"/>
    <col min="8" max="8" width="31.707" bestFit="true" customWidth="true" style="0"/>
    <col min="9" max="9" width="25.851" bestFit="true" customWidth="true" style="0"/>
    <col min="10" max="10" width="28.136" bestFit="true" customWidth="true" style="0"/>
    <col min="11" max="11" width="21.138" bestFit="true" customWidth="true" style="0"/>
    <col min="12" max="12" width="21.138" bestFit="true" customWidth="true" style="0"/>
    <col min="13" max="13" width="21.138" bestFit="true" customWidth="true" style="0"/>
    <col min="14" max="14" width="21.138" bestFit="true" customWidth="true" style="0"/>
    <col min="15" max="15" width="21.138" bestFit="true" customWidth="true" style="0"/>
    <col min="16" max="16" width="17.567" bestFit="true" customWidth="true" style="0"/>
    <col min="17" max="17" width="21.138" bestFit="true" customWidth="true" style="0"/>
    <col min="18" max="18" width="26.993" bestFit="true" customWidth="true" style="0"/>
    <col min="19" max="19" width="22.28" bestFit="true" customWidth="true" style="0"/>
  </cols>
  <sheetData>
    <row r="1" spans="1:19">
      <c r="A1" s="5" t="s">
        <v>23</v>
      </c>
    </row>
    <row r="2" spans="1:19">
      <c r="A2" t="s">
        <v>2</v>
      </c>
      <c r="B2" t="s">
        <v>19</v>
      </c>
    </row>
    <row r="3" spans="1:19">
      <c r="A3" t="s">
        <v>3</v>
      </c>
      <c r="B3" t="s">
        <v>20</v>
      </c>
    </row>
    <row r="4" spans="1:19">
      <c r="A4" t="s">
        <v>4</v>
      </c>
      <c r="B4" t="s">
        <v>21</v>
      </c>
    </row>
    <row r="5" spans="1:19">
      <c r="A5" t="s">
        <v>5</v>
      </c>
      <c r="B5" t="s">
        <v>22</v>
      </c>
    </row>
    <row r="6" spans="1:19">
      <c r="A6" t="s">
        <v>6</v>
      </c>
      <c r="B6" t="s">
        <v>17</v>
      </c>
    </row>
    <row r="7" spans="1:19">
      <c r="A7" t="s">
        <v>7</v>
      </c>
      <c r="B7" t="s">
        <v>18</v>
      </c>
    </row>
    <row r="8" spans="1:19">
      <c r="A8" t="s">
        <v>24</v>
      </c>
      <c r="B8">
        <v>9</v>
      </c>
    </row>
    <row r="10" spans="1:19">
      <c r="A10" s="2" t="s">
        <v>25</v>
      </c>
      <c r="B10" s="2" t="s">
        <v>26</v>
      </c>
      <c r="C10" s="2" t="s">
        <v>27</v>
      </c>
      <c r="D10" s="2" t="s">
        <v>28</v>
      </c>
      <c r="E10" s="2" t="s">
        <v>29</v>
      </c>
      <c r="F10" s="2" t="s">
        <v>30</v>
      </c>
      <c r="G10" s="2" t="s">
        <v>31</v>
      </c>
      <c r="H10" s="2" t="s">
        <v>32</v>
      </c>
      <c r="I10" s="2" t="s">
        <v>33</v>
      </c>
      <c r="J10" s="2" t="s">
        <v>34</v>
      </c>
      <c r="K10" s="2" t="s">
        <v>35</v>
      </c>
      <c r="L10" s="2" t="s">
        <v>36</v>
      </c>
      <c r="M10" s="2" t="s">
        <v>37</v>
      </c>
      <c r="N10" s="2" t="s">
        <v>38</v>
      </c>
      <c r="O10" s="2" t="s">
        <v>39</v>
      </c>
      <c r="P10" s="2" t="s">
        <v>40</v>
      </c>
      <c r="Q10" s="2" t="s">
        <v>41</v>
      </c>
      <c r="R10" s="2" t="s">
        <v>42</v>
      </c>
      <c r="S10" s="2" t="s">
        <v>43</v>
      </c>
    </row>
    <row r="11" spans="1:19">
      <c r="A11">
        <v>1</v>
      </c>
      <c r="B11" t="s">
        <v>44</v>
      </c>
      <c r="C11" t="s">
        <v>45</v>
      </c>
      <c r="D11" s="3">
        <v>19</v>
      </c>
      <c r="E11" s="3">
        <v>0</v>
      </c>
      <c r="F11" s="3">
        <v>19</v>
      </c>
      <c r="G11" s="3">
        <v>0</v>
      </c>
      <c r="H11" s="3">
        <v>0</v>
      </c>
      <c r="I11" s="3">
        <v>0.0</v>
      </c>
      <c r="J11" s="3">
        <v>0.0</v>
      </c>
      <c r="K11" s="3">
        <f>ROUND(I11+J11,2)</f>
        <v>0</v>
      </c>
      <c r="L11" s="3">
        <v>0</v>
      </c>
      <c r="M11" s="3">
        <f>IF(F11=0,0,ROUND(((G11+H11)/(F11*2))*50,2))</f>
        <v>0</v>
      </c>
      <c r="N11" s="3">
        <f>ROUND(MAX(0,(100-K11)*0.35),2)</f>
        <v>35</v>
      </c>
      <c r="O11" s="3">
        <f>IF(L11&gt;0,0,15)</f>
        <v>15</v>
      </c>
      <c r="P11" s="3">
        <f>ROUND(M11+N11+O11,2)</f>
        <v>50</v>
      </c>
      <c r="Q11" s="3">
        <v>0</v>
      </c>
      <c r="R11" s="3">
        <v>0</v>
      </c>
      <c r="S11" t="s">
        <v>46</v>
      </c>
    </row>
    <row r="12" spans="1:19">
      <c r="A12">
        <v>2</v>
      </c>
      <c r="B12" t="s">
        <v>47</v>
      </c>
      <c r="C12" t="s">
        <v>48</v>
      </c>
      <c r="D12" s="3">
        <v>20</v>
      </c>
      <c r="E12" s="3">
        <v>0</v>
      </c>
      <c r="F12" s="3">
        <v>20</v>
      </c>
      <c r="G12" s="3">
        <v>0</v>
      </c>
      <c r="H12" s="3">
        <v>0</v>
      </c>
      <c r="I12" s="3">
        <v>0.0</v>
      </c>
      <c r="J12" s="3">
        <v>0.0</v>
      </c>
      <c r="K12" s="3">
        <f>ROUND(I12+J12,2)</f>
        <v>0</v>
      </c>
      <c r="L12" s="3">
        <v>0</v>
      </c>
      <c r="M12" s="3">
        <f>IF(F12=0,0,ROUND(((G12+H12)/(F12*2))*50,2))</f>
        <v>0</v>
      </c>
      <c r="N12" s="3">
        <f>ROUND(MAX(0,(100-K12)*0.35),2)</f>
        <v>35</v>
      </c>
      <c r="O12" s="3">
        <f>IF(L12&gt;0,0,15)</f>
        <v>15</v>
      </c>
      <c r="P12" s="3">
        <f>ROUND(M12+N12+O12,2)</f>
        <v>50</v>
      </c>
      <c r="Q12" s="3">
        <v>0</v>
      </c>
      <c r="R12" s="3">
        <v>0</v>
      </c>
      <c r="S12" t="s">
        <v>46</v>
      </c>
    </row>
    <row r="13" spans="1:19">
      <c r="A13">
        <v>3</v>
      </c>
      <c r="B13" t="s">
        <v>49</v>
      </c>
      <c r="C13" t="s">
        <v>50</v>
      </c>
      <c r="D13" s="3">
        <v>19</v>
      </c>
      <c r="E13" s="3">
        <v>0</v>
      </c>
      <c r="F13" s="3">
        <v>19</v>
      </c>
      <c r="G13" s="3">
        <v>0</v>
      </c>
      <c r="H13" s="3">
        <v>0</v>
      </c>
      <c r="I13" s="3">
        <v>0.0</v>
      </c>
      <c r="J13" s="3">
        <v>0.0</v>
      </c>
      <c r="K13" s="3">
        <f>ROUND(I13+J13,2)</f>
        <v>0</v>
      </c>
      <c r="L13" s="3">
        <v>0</v>
      </c>
      <c r="M13" s="3">
        <f>IF(F13=0,0,ROUND(((G13+H13)/(F13*2))*50,2))</f>
        <v>0</v>
      </c>
      <c r="N13" s="3">
        <f>ROUND(MAX(0,(100-K13)*0.35),2)</f>
        <v>35</v>
      </c>
      <c r="O13" s="3">
        <f>IF(L13&gt;0,0,15)</f>
        <v>15</v>
      </c>
      <c r="P13" s="3">
        <f>ROUND(M13+N13+O13,2)</f>
        <v>50</v>
      </c>
      <c r="Q13" s="3">
        <v>0</v>
      </c>
      <c r="R13" s="3">
        <v>0</v>
      </c>
      <c r="S13" t="s">
        <v>46</v>
      </c>
    </row>
    <row r="14" spans="1:19">
      <c r="A14">
        <v>4</v>
      </c>
      <c r="B14" t="s">
        <v>51</v>
      </c>
      <c r="C14" t="s">
        <v>52</v>
      </c>
      <c r="D14" s="3">
        <v>16</v>
      </c>
      <c r="E14" s="3">
        <v>0</v>
      </c>
      <c r="F14" s="3">
        <v>16</v>
      </c>
      <c r="G14" s="3">
        <v>0</v>
      </c>
      <c r="H14" s="3">
        <v>0</v>
      </c>
      <c r="I14" s="3">
        <v>0.0</v>
      </c>
      <c r="J14" s="3">
        <v>0.0</v>
      </c>
      <c r="K14" s="3">
        <f>ROUND(I14+J14,2)</f>
        <v>0</v>
      </c>
      <c r="L14" s="3">
        <v>0</v>
      </c>
      <c r="M14" s="3">
        <f>IF(F14=0,0,ROUND(((G14+H14)/(F14*2))*50,2))</f>
        <v>0</v>
      </c>
      <c r="N14" s="3">
        <f>ROUND(MAX(0,(100-K14)*0.35),2)</f>
        <v>35</v>
      </c>
      <c r="O14" s="3">
        <f>IF(L14&gt;0,0,15)</f>
        <v>15</v>
      </c>
      <c r="P14" s="3">
        <f>ROUND(M14+N14+O14,2)</f>
        <v>50</v>
      </c>
      <c r="Q14" s="3">
        <v>0</v>
      </c>
      <c r="R14" s="3">
        <v>0</v>
      </c>
      <c r="S14" t="s">
        <v>46</v>
      </c>
    </row>
    <row r="15" spans="1:19">
      <c r="A15">
        <v>5</v>
      </c>
      <c r="B15" t="s">
        <v>53</v>
      </c>
      <c r="C15" t="s">
        <v>54</v>
      </c>
      <c r="D15" s="3">
        <v>17</v>
      </c>
      <c r="E15" s="3">
        <v>0</v>
      </c>
      <c r="F15" s="3">
        <v>17</v>
      </c>
      <c r="G15" s="3">
        <v>0</v>
      </c>
      <c r="H15" s="3">
        <v>0</v>
      </c>
      <c r="I15" s="3">
        <v>0.0</v>
      </c>
      <c r="J15" s="3">
        <v>0.0</v>
      </c>
      <c r="K15" s="3">
        <f>ROUND(I15+J15,2)</f>
        <v>0</v>
      </c>
      <c r="L15" s="3">
        <v>0</v>
      </c>
      <c r="M15" s="3">
        <f>IF(F15=0,0,ROUND(((G15+H15)/(F15*2))*50,2))</f>
        <v>0</v>
      </c>
      <c r="N15" s="3">
        <f>ROUND(MAX(0,(100-K15)*0.35),2)</f>
        <v>35</v>
      </c>
      <c r="O15" s="3">
        <f>IF(L15&gt;0,0,15)</f>
        <v>15</v>
      </c>
      <c r="P15" s="3">
        <f>ROUND(M15+N15+O15,2)</f>
        <v>50</v>
      </c>
      <c r="Q15" s="3">
        <v>0</v>
      </c>
      <c r="R15" s="3">
        <v>0</v>
      </c>
      <c r="S15" t="s">
        <v>46</v>
      </c>
    </row>
    <row r="16" spans="1:19">
      <c r="A16">
        <v>6</v>
      </c>
      <c r="B16" t="s">
        <v>55</v>
      </c>
      <c r="C16" t="s">
        <v>56</v>
      </c>
      <c r="D16" s="3">
        <v>18</v>
      </c>
      <c r="E16" s="3">
        <v>0</v>
      </c>
      <c r="F16" s="3">
        <v>18</v>
      </c>
      <c r="G16" s="3">
        <v>0</v>
      </c>
      <c r="H16" s="3">
        <v>0</v>
      </c>
      <c r="I16" s="3">
        <v>0.0</v>
      </c>
      <c r="J16" s="3">
        <v>0.0</v>
      </c>
      <c r="K16" s="3">
        <f>ROUND(I16+J16,2)</f>
        <v>0</v>
      </c>
      <c r="L16" s="3">
        <v>0</v>
      </c>
      <c r="M16" s="3">
        <f>IF(F16=0,0,ROUND(((G16+H16)/(F16*2))*50,2))</f>
        <v>0</v>
      </c>
      <c r="N16" s="3">
        <f>ROUND(MAX(0,(100-K16)*0.35),2)</f>
        <v>35</v>
      </c>
      <c r="O16" s="3">
        <f>IF(L16&gt;0,0,15)</f>
        <v>15</v>
      </c>
      <c r="P16" s="3">
        <f>ROUND(M16+N16+O16,2)</f>
        <v>50</v>
      </c>
      <c r="Q16" s="3">
        <v>0</v>
      </c>
      <c r="R16" s="3">
        <v>0</v>
      </c>
      <c r="S16" t="s">
        <v>46</v>
      </c>
    </row>
    <row r="17" spans="1:19">
      <c r="A17">
        <v>7</v>
      </c>
      <c r="B17" t="s">
        <v>57</v>
      </c>
      <c r="C17" t="s">
        <v>58</v>
      </c>
      <c r="D17" s="3">
        <v>23</v>
      </c>
      <c r="E17" s="3">
        <v>0</v>
      </c>
      <c r="F17" s="3">
        <v>23</v>
      </c>
      <c r="G17" s="3">
        <v>0</v>
      </c>
      <c r="H17" s="3">
        <v>0</v>
      </c>
      <c r="I17" s="3">
        <v>0.0</v>
      </c>
      <c r="J17" s="3">
        <v>0.0</v>
      </c>
      <c r="K17" s="3">
        <f>ROUND(I17+J17,2)</f>
        <v>0</v>
      </c>
      <c r="L17" s="3">
        <v>0</v>
      </c>
      <c r="M17" s="3">
        <f>IF(F17=0,0,ROUND(((G17+H17)/(F17*2))*50,2))</f>
        <v>0</v>
      </c>
      <c r="N17" s="3">
        <f>ROUND(MAX(0,(100-K17)*0.35),2)</f>
        <v>35</v>
      </c>
      <c r="O17" s="3">
        <f>IF(L17&gt;0,0,15)</f>
        <v>15</v>
      </c>
      <c r="P17" s="3">
        <f>ROUND(M17+N17+O17,2)</f>
        <v>50</v>
      </c>
      <c r="Q17" s="3">
        <v>0</v>
      </c>
      <c r="R17" s="3">
        <v>0</v>
      </c>
      <c r="S17" t="s">
        <v>46</v>
      </c>
    </row>
    <row r="18" spans="1:19">
      <c r="A18">
        <v>8</v>
      </c>
      <c r="B18" t="s">
        <v>59</v>
      </c>
      <c r="C18" t="s">
        <v>60</v>
      </c>
      <c r="D18" s="3">
        <v>20</v>
      </c>
      <c r="E18" s="3">
        <v>0</v>
      </c>
      <c r="F18" s="3">
        <v>20</v>
      </c>
      <c r="G18" s="3">
        <v>0</v>
      </c>
      <c r="H18" s="3">
        <v>0</v>
      </c>
      <c r="I18" s="3">
        <v>0.0</v>
      </c>
      <c r="J18" s="3">
        <v>0.0</v>
      </c>
      <c r="K18" s="3">
        <f>ROUND(I18+J18,2)</f>
        <v>0</v>
      </c>
      <c r="L18" s="3">
        <v>0</v>
      </c>
      <c r="M18" s="3">
        <f>IF(F18=0,0,ROUND(((G18+H18)/(F18*2))*50,2))</f>
        <v>0</v>
      </c>
      <c r="N18" s="3">
        <f>ROUND(MAX(0,(100-K18)*0.35),2)</f>
        <v>35</v>
      </c>
      <c r="O18" s="3">
        <f>IF(L18&gt;0,0,15)</f>
        <v>15</v>
      </c>
      <c r="P18" s="3">
        <f>ROUND(M18+N18+O18,2)</f>
        <v>50</v>
      </c>
      <c r="Q18" s="3">
        <v>0</v>
      </c>
      <c r="R18" s="3">
        <v>0</v>
      </c>
      <c r="S18" t="s">
        <v>46</v>
      </c>
    </row>
    <row r="19" spans="1:19">
      <c r="A19">
        <v>9</v>
      </c>
      <c r="B19" t="s">
        <v>61</v>
      </c>
      <c r="C19" t="s">
        <v>62</v>
      </c>
      <c r="D19" s="3">
        <v>21</v>
      </c>
      <c r="E19" s="3">
        <v>0</v>
      </c>
      <c r="F19" s="3">
        <v>21</v>
      </c>
      <c r="G19" s="3">
        <v>20</v>
      </c>
      <c r="H19" s="3">
        <v>20</v>
      </c>
      <c r="I19" s="3">
        <v>0.0</v>
      </c>
      <c r="J19" s="3">
        <v>0.0</v>
      </c>
      <c r="K19" s="3">
        <f>ROUND(I19+J19,2)</f>
        <v>0</v>
      </c>
      <c r="L19" s="3">
        <v>0</v>
      </c>
      <c r="M19" s="3">
        <f>IF(F19=0,0,ROUND(((G19+H19)/(F19*2))*50,2))</f>
        <v>47.62</v>
      </c>
      <c r="N19" s="3">
        <f>ROUND(MAX(0,(100-K19)*0.35),2)</f>
        <v>35</v>
      </c>
      <c r="O19" s="3">
        <f>IF(L19&gt;0,0,15)</f>
        <v>15</v>
      </c>
      <c r="P19" s="3">
        <f>ROUND(M19+N19+O19,2)</f>
        <v>97.62</v>
      </c>
      <c r="Q19" s="3">
        <v>1</v>
      </c>
      <c r="R19" s="3">
        <v>20</v>
      </c>
    </row>
    <row r="20" spans="1:19">
      <c r="A20">
        <v>10</v>
      </c>
      <c r="B20" t="s">
        <v>63</v>
      </c>
      <c r="C20" t="s">
        <v>64</v>
      </c>
      <c r="D20" s="3">
        <v>23</v>
      </c>
      <c r="E20" s="3">
        <v>0</v>
      </c>
      <c r="F20" s="3">
        <v>23</v>
      </c>
      <c r="G20" s="3">
        <v>23</v>
      </c>
      <c r="H20" s="3">
        <v>23</v>
      </c>
      <c r="I20" s="3">
        <v>0.0</v>
      </c>
      <c r="J20" s="3">
        <v>0.0</v>
      </c>
      <c r="K20" s="3">
        <f>ROUND(I20+J20,2)</f>
        <v>0</v>
      </c>
      <c r="L20" s="3">
        <v>0</v>
      </c>
      <c r="M20" s="3">
        <f>IF(F20=0,0,ROUND(((G20+H20)/(F20*2))*50,2))</f>
        <v>50</v>
      </c>
      <c r="N20" s="3">
        <f>ROUND(MAX(0,(100-K20)*0.35),2)</f>
        <v>35</v>
      </c>
      <c r="O20" s="3">
        <f>IF(L20&gt;0,0,15)</f>
        <v>15</v>
      </c>
      <c r="P20" s="3">
        <f>ROUND(M20+N20+O20,2)</f>
        <v>100</v>
      </c>
      <c r="Q20" s="3">
        <v>1</v>
      </c>
      <c r="R20" s="3">
        <v>23</v>
      </c>
    </row>
    <row r="21" spans="1:19">
      <c r="A21">
        <v>11</v>
      </c>
      <c r="B21" t="s">
        <v>65</v>
      </c>
      <c r="C21" t="s">
        <v>66</v>
      </c>
      <c r="D21" s="3">
        <v>20</v>
      </c>
      <c r="E21" s="3">
        <v>0</v>
      </c>
      <c r="F21" s="3">
        <v>20</v>
      </c>
      <c r="G21" s="3">
        <v>20</v>
      </c>
      <c r="H21" s="3">
        <v>20</v>
      </c>
      <c r="I21" s="3">
        <v>0.0</v>
      </c>
      <c r="J21" s="3">
        <v>0.0</v>
      </c>
      <c r="K21" s="3">
        <f>ROUND(I21+J21,2)</f>
        <v>0</v>
      </c>
      <c r="L21" s="3">
        <v>0</v>
      </c>
      <c r="M21" s="3">
        <f>IF(F21=0,0,ROUND(((G21+H21)/(F21*2))*50,2))</f>
        <v>50</v>
      </c>
      <c r="N21" s="3">
        <f>ROUND(MAX(0,(100-K21)*0.35),2)</f>
        <v>35</v>
      </c>
      <c r="O21" s="3">
        <f>IF(L21&gt;0,0,15)</f>
        <v>15</v>
      </c>
      <c r="P21" s="3">
        <f>ROUND(M21+N21+O21,2)</f>
        <v>100</v>
      </c>
      <c r="Q21" s="3">
        <v>1</v>
      </c>
      <c r="R21" s="3">
        <v>20</v>
      </c>
    </row>
    <row r="22" spans="1:19">
      <c r="A22">
        <v>12</v>
      </c>
      <c r="B22" t="s">
        <v>67</v>
      </c>
      <c r="C22" t="s">
        <v>68</v>
      </c>
      <c r="D22" s="3">
        <v>21</v>
      </c>
      <c r="E22" s="3">
        <v>3</v>
      </c>
      <c r="F22" s="3">
        <v>18</v>
      </c>
      <c r="G22" s="3">
        <v>15</v>
      </c>
      <c r="H22" s="3">
        <v>15</v>
      </c>
      <c r="I22" s="3">
        <v>0.0</v>
      </c>
      <c r="J22" s="3">
        <v>0.0</v>
      </c>
      <c r="K22" s="3">
        <f>ROUND(I22+J22,2)</f>
        <v>0</v>
      </c>
      <c r="L22" s="3">
        <v>0</v>
      </c>
      <c r="M22" s="3">
        <f>IF(F22=0,0,ROUND(((G22+H22)/(F22*2))*50,2))</f>
        <v>41.67</v>
      </c>
      <c r="N22" s="3">
        <f>ROUND(MAX(0,(100-K22)*0.35),2)</f>
        <v>35</v>
      </c>
      <c r="O22" s="3">
        <f>IF(L22&gt;0,0,15)</f>
        <v>15</v>
      </c>
      <c r="P22" s="3">
        <f>ROUND(M22+N22+O22,2)</f>
        <v>91.67</v>
      </c>
      <c r="Q22" s="3">
        <v>1</v>
      </c>
      <c r="R22" s="3">
        <v>15</v>
      </c>
    </row>
    <row r="24" spans="1:19">
      <c r="A24" s="1" t="s">
        <v>69</v>
      </c>
    </row>
    <row r="25" spans="1:19">
      <c r="A25" t="s">
        <v>70</v>
      </c>
      <c r="B25" s="3">
        <f>ROUND(AVERAGEIF(Q11:Q22,1,M11:M22),2)</f>
        <v>47.32</v>
      </c>
    </row>
    <row r="26" spans="1:19">
      <c r="A26" t="s">
        <v>71</v>
      </c>
      <c r="B26" s="3">
        <f>ROUND(AVERAGEIF(Q11:Q22,1,N11:N22),2)</f>
        <v>35</v>
      </c>
    </row>
    <row r="27" spans="1:19">
      <c r="A27" t="s">
        <v>72</v>
      </c>
      <c r="B27" s="3">
        <f>ROUND(AVERAGEIF(Q11:Q22,1,O11:O22),2)</f>
        <v>15</v>
      </c>
    </row>
    <row r="28" spans="1:19">
      <c r="A28" t="s">
        <v>73</v>
      </c>
      <c r="B28" s="3">
        <f>ROUND(AVERAGEIF(Q11:Q22,1,P11:P22),2)</f>
        <v>97.31999999999999</v>
      </c>
    </row>
    <row r="29" spans="1:19">
      <c r="A29" t="s">
        <v>74</v>
      </c>
      <c r="B29">
        <f>SUMIF(Q11:Q22,1,R11:R22)</f>
        <v>78</v>
      </c>
    </row>
  </sheetData>
  <autoFilter ref="A10:S22"/>
  <mergeCells>
    <mergeCell ref="A1:S1"/>
    <mergeCell ref="A24:C2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</vt:lpstr>
      <vt:lpstr>198204262025211027</vt:lpstr>
      <vt:lpstr>198210062025211034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Perwira</dc:creator>
  <cp:lastModifiedBy>Unknown Creator</cp:lastModifiedBy>
  <dcterms:created xsi:type="dcterms:W3CDTF">2026-01-16T23:42:25+00:00</dcterms:created>
  <dcterms:modified xsi:type="dcterms:W3CDTF">2026-01-16T23:42:25+00:00</dcterms:modified>
  <dc:title>Perhitungan Pegawai Disiplin</dc:title>
  <dc:description>Perhitungan otomatis Pegawai Disiplin berdasarkan rekap kehadiran SIKEP dan tie-breaker datang &lt; 08.00</dc:description>
  <dc:subject/>
  <cp:keywords/>
  <cp:category/>
</cp:coreProperties>
</file>