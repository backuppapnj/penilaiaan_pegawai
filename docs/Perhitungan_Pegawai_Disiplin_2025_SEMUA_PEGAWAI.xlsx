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2" autoFilterDateGrouping="true" firstSheet="0" minimized="false" showHorizontalScroll="true" showSheetTabs="true" showVerticalScroll="true" tabRatio="600" visibility="visible"/>
  </bookViews>
  <sheets>
    <sheet name="Ringkasan" sheetId="1" r:id="rId4"/>
    <sheet name="197503141996031002" sheetId="2" r:id="rId5"/>
    <sheet name="198009202002121004" sheetId="3" r:id="rId6"/>
    <sheet name="198108022009122002" sheetId="4" r:id="rId7"/>
    <sheet name="198204262025211027" sheetId="5" r:id="rId8"/>
    <sheet name="198210062025211034" sheetId="6" r:id="rId9"/>
    <sheet name="198301042006042003" sheetId="7" r:id="rId10"/>
    <sheet name="198410092007042001" sheetId="8" r:id="rId11"/>
    <sheet name="198410212003122002" sheetId="9" r:id="rId12"/>
    <sheet name="198411192011011012" sheetId="10" r:id="rId13"/>
    <sheet name="198505092009041006" sheetId="11" r:id="rId14"/>
    <sheet name="198506052009042006" sheetId="12" r:id="rId15"/>
    <sheet name="198510102025211065" sheetId="13" r:id="rId16"/>
    <sheet name="198604122017122001" sheetId="14" r:id="rId17"/>
    <sheet name="198802022008051001" sheetId="15" r:id="rId18"/>
    <sheet name="199010082022031004" sheetId="16" r:id="rId19"/>
    <sheet name="199107132020121003" sheetId="17" r:id="rId20"/>
    <sheet name="199211132020122011" sheetId="18" r:id="rId21"/>
    <sheet name="199304112019032020" sheetId="19" r:id="rId22"/>
    <sheet name="199406072025211039" sheetId="20" r:id="rId23"/>
    <sheet name="199408302020122007" sheetId="21" r:id="rId24"/>
    <sheet name="199604102025062008" sheetId="22" r:id="rId25"/>
    <sheet name="199605112025212037" sheetId="23" r:id="rId26"/>
    <sheet name="199702012022031004" sheetId="24" r:id="rId27"/>
    <sheet name="199702232022032013" sheetId="25" r:id="rId28"/>
    <sheet name="199704162022032013" sheetId="26" r:id="rId29"/>
    <sheet name="199705312020121004" sheetId="27" r:id="rId30"/>
    <sheet name="199709082025061006" sheetId="28" r:id="rId31"/>
    <sheet name="199710252025062012" sheetId="29" r:id="rId32"/>
    <sheet name="199711202025212035" sheetId="30" r:id="rId33"/>
    <sheet name="199712262025062010" sheetId="31" r:id="rId34"/>
    <sheet name="200009242025062019" sheetId="32" r:id="rId35"/>
    <sheet name="200106132024052001" sheetId="33" r:id="rId3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<sst xmlns="http://schemas.openxmlformats.org/spreadsheetml/2006/main" uniqueCount="175">
  <si>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Perhitungan Pegawai Disiplin (2025)</t>
  </si>
  <si>
    <t>Catatan: PPPK dihitung mulai bulan TMT pada tahun berjalan.</t>
  </si>
  <si>
    <t>Catatan: Kolom "Dinilai" hanya menghitung bulan yang ada data di rekap dan memenuhi start bulan.</t>
  </si>
  <si>
    <t>NIP</t>
  </si>
  <si>
    <t>Nama</t>
  </si>
  <si>
    <t>Jabatan</t>
  </si>
  <si>
    <t>Gol</t>
  </si>
  <si>
    <t>TMT</t>
  </si>
  <si>
    <t>PPPK</t>
  </si>
  <si>
    <t>Start Bulan</t>
  </si>
  <si>
    <t>Bulan Dinilai</t>
  </si>
  <si>
    <t>Rata-rata Total (Dinilai)</t>
  </si>
  <si>
    <t>Rata-rata Total (12 bulan)</t>
  </si>
  <si>
    <t>197503141996031002</t>
  </si>
  <si>
    <t>MUHAMMAD HAMDI, S.H., M.Hum.</t>
  </si>
  <si>
    <t>Panitera Tingkat Pertama Klas II</t>
  </si>
  <si>
    <t>IV/a</t>
  </si>
  <si>
    <t>2024-06-11</t>
  </si>
  <si>
    <t>Tidak</t>
  </si>
  <si>
    <t>198009202002121004</t>
  </si>
  <si>
    <t>IQBAL KHAIRILLAH, SH.</t>
  </si>
  <si>
    <t>Kepala Sub Bagian Kepegawaian, Organisasi dan Tata Laksana Tingkat Pertama Klas II</t>
  </si>
  <si>
    <t>198108022009122002</t>
  </si>
  <si>
    <t>FARIDAH FITRIYANI, S.H.I.</t>
  </si>
  <si>
    <t>Panitera Muda Tingkat Pertama Klas II</t>
  </si>
  <si>
    <t>III/d</t>
  </si>
  <si>
    <t>2024-10-10</t>
  </si>
  <si>
    <t>198204262025211027</t>
  </si>
  <si>
    <t>AMIN NUR</t>
  </si>
  <si>
    <t>Operator Layanan Operasional</t>
  </si>
  <si>
    <t>V</t>
  </si>
  <si>
    <t>2025-09-01</t>
  </si>
  <si>
    <t>Ya</t>
  </si>
  <si>
    <t>198210062025211034</t>
  </si>
  <si>
    <t>ADI IRAWAN</t>
  </si>
  <si>
    <t>Pengelola Umum Operasional</t>
  </si>
  <si>
    <t>I</t>
  </si>
  <si>
    <t>198301042006042003</t>
  </si>
  <si>
    <t>INDRA YANITA YULIANA, S.E., M.Si.</t>
  </si>
  <si>
    <t>Sekretaris Tingkat Pertama Klas II</t>
  </si>
  <si>
    <t>2019-08-07</t>
  </si>
  <si>
    <t>198410092007042001</t>
  </si>
  <si>
    <t>NAHDIYANTI, S.H.I., M.H.</t>
  </si>
  <si>
    <t>Wakil Ketua Tingkat Pertama</t>
  </si>
  <si>
    <t>2022-11-28</t>
  </si>
  <si>
    <t>198410212003122002</t>
  </si>
  <si>
    <t>ZULFAH</t>
  </si>
  <si>
    <t>Panitera Muda PA II</t>
  </si>
  <si>
    <t>198411192011011012</t>
  </si>
  <si>
    <t>AWALUDDIN NUR, S.H.I.</t>
  </si>
  <si>
    <t>Kepala Subbagian</t>
  </si>
  <si>
    <t>2025-08-28</t>
  </si>
  <si>
    <t>198505092009041006</t>
  </si>
  <si>
    <t>FATTAHURRIDLO AL GHANY, S.H.I., M.S.I.</t>
  </si>
  <si>
    <t>Ketua Pengadilan Tingkat Pertama Klas II</t>
  </si>
  <si>
    <t>2024-05-13</t>
  </si>
  <si>
    <t>198506052009042006</t>
  </si>
  <si>
    <t>NUZULA YUSTISIA, S.H.I.</t>
  </si>
  <si>
    <t>2025-07-21</t>
  </si>
  <si>
    <t>198510102025211065</t>
  </si>
  <si>
    <t>DAMAI AZIZU, S.Kom.</t>
  </si>
  <si>
    <t>Operator - Penata Layanan Operasional</t>
  </si>
  <si>
    <t>IX</t>
  </si>
  <si>
    <t>198604122017122001</t>
  </si>
  <si>
    <t>DARU HALLEILA, S.H.</t>
  </si>
  <si>
    <t>Hakim</t>
  </si>
  <si>
    <t>198802022008051001</t>
  </si>
  <si>
    <t>MUHAMMAD ZAIM NOOR, S.H.</t>
  </si>
  <si>
    <t>III/c</t>
  </si>
  <si>
    <t>199010082022031004</t>
  </si>
  <si>
    <t>IRWAN SYAH SETIAWAN, A.md</t>
  </si>
  <si>
    <t>Klerek - Pengelola Penanganan Perkara</t>
  </si>
  <si>
    <t>II/c</t>
  </si>
  <si>
    <t>2023-10-02</t>
  </si>
  <si>
    <t>199107132020121003</t>
  </si>
  <si>
    <t>MUHARDIANSYAH, S.Kom.</t>
  </si>
  <si>
    <t>Pranata Komputer Ahli Pertama</t>
  </si>
  <si>
    <t>III/a</t>
  </si>
  <si>
    <t>2022-08-01</t>
  </si>
  <si>
    <t>199211132020122011</t>
  </si>
  <si>
    <t>YULINDA, A.Md.Kom.</t>
  </si>
  <si>
    <t>II/d</t>
  </si>
  <si>
    <t>199304112019032020</t>
  </si>
  <si>
    <t>NURUL FITRIANI, A.Md.Kom.</t>
  </si>
  <si>
    <t>Juru Sita Pengganti</t>
  </si>
  <si>
    <t>2023-10-09</t>
  </si>
  <si>
    <t>199406072025211039</t>
  </si>
  <si>
    <t>ASHAR, S.H.</t>
  </si>
  <si>
    <t>199408302020122007</t>
  </si>
  <si>
    <t>RAINI MAULIDINA, S.H.</t>
  </si>
  <si>
    <t>Panitera Pengganti Tingkat Pertama</t>
  </si>
  <si>
    <t>III/b</t>
  </si>
  <si>
    <t>2025-06-17</t>
  </si>
  <si>
    <t>199604102025062008</t>
  </si>
  <si>
    <t>NURAVITA PRAMESTI, A.Md.</t>
  </si>
  <si>
    <t>Klerek - Dokumentalis Hukum</t>
  </si>
  <si>
    <t>2025-06-23</t>
  </si>
  <si>
    <t>199605112025212037</t>
  </si>
  <si>
    <t>NAJWA HIJRIANA, S.E.</t>
  </si>
  <si>
    <t>199702012022031004</t>
  </si>
  <si>
    <t>MUHAMMAD ILHAM, S.H., M.Kn.</t>
  </si>
  <si>
    <t>Klerek - Analis Perkara Peradilan</t>
  </si>
  <si>
    <t>199702232022032013</t>
  </si>
  <si>
    <t>NUR RIZKA FANI, S.H.</t>
  </si>
  <si>
    <t>Hakim Tingkat Pertama</t>
  </si>
  <si>
    <t>2025-06-11</t>
  </si>
  <si>
    <t>199704162022032013</t>
  </si>
  <si>
    <t>VIDYA NURCHALIZA, S.H.</t>
  </si>
  <si>
    <t>199705312020121004</t>
  </si>
  <si>
    <t>MUHAMMAD MIFTAHUDIN, S.H.</t>
  </si>
  <si>
    <t>199709082025061006</t>
  </si>
  <si>
    <t>JAKFAR, A.Md.A.B.</t>
  </si>
  <si>
    <t>2025-06-01</t>
  </si>
  <si>
    <t>199710252025062012</t>
  </si>
  <si>
    <t>NUR MUFLIHAH PUTRI WIJANARKO, S.T.</t>
  </si>
  <si>
    <t>Teknisi Sarana dan Prasarana</t>
  </si>
  <si>
    <t>199711202025212035</t>
  </si>
  <si>
    <t>NOVAYANTI, S.H.</t>
  </si>
  <si>
    <t>199712262025062010</t>
  </si>
  <si>
    <t>RAINA PUTRI NASUHA, S.H.</t>
  </si>
  <si>
    <t>200009242025062019</t>
  </si>
  <si>
    <t>CUCU KHOFIFAH, S.H.</t>
  </si>
  <si>
    <t>200106132024052001</t>
  </si>
  <si>
    <t>QURROTU AINI, S.H.</t>
  </si>
  <si>
    <t>2025-05-02</t>
  </si>
  <si>
    <t>Perhitungan Pegawai Disiplin</t>
  </si>
  <si>
    <t>Start Bulan Penilaian</t>
  </si>
  <si>
    <t>Bulan</t>
  </si>
  <si>
    <t>Nama Bulan</t>
  </si>
  <si>
    <t>File Rekap</t>
  </si>
  <si>
    <t>Total Hari Kerja</t>
  </si>
  <si>
    <t>Excused Days (0%)</t>
  </si>
  <si>
    <t>Effective Days</t>
  </si>
  <si>
    <t>Hadir Tepat Waktu (E)</t>
  </si>
  <si>
    <t>Pulang Tepat Waktu (L)</t>
  </si>
  <si>
    <t>Penalti Terlambat</t>
  </si>
  <si>
    <t>Penalti Pulang Awal</t>
  </si>
  <si>
    <t>Total Penalti</t>
  </si>
  <si>
    <t>Izin Berlebih</t>
  </si>
  <si>
    <t>Score 1 (50%)</t>
  </si>
  <si>
    <t>Score 2 (35%)</t>
  </si>
  <si>
    <t>Score 3 (15%)</t>
  </si>
  <si>
    <t>Total Skor</t>
  </si>
  <si>
    <t>Dinilai (1/0)</t>
  </si>
  <si>
    <t>Datang &lt;08 (bulan)</t>
  </si>
  <si>
    <t>Januari</t>
  </si>
  <si>
    <t>02_rekap_kehadiran_1600_401877_PA Penajam_Januari_2025.xlsx</t>
  </si>
  <si>
    <t>Februari</t>
  </si>
  <si>
    <t>02_rekap_kehadiran_1600_401877_PA Penajam_Februari_2025.xlsx</t>
  </si>
  <si>
    <t>Maret</t>
  </si>
  <si>
    <t>02_rekap_kehadiran_1600_401877_PA Penajam_Maret_2025.xlsx</t>
  </si>
  <si>
    <t>April</t>
  </si>
  <si>
    <t>02_rekap_kehadiran_1600_401877_PA Penajam_April_2025.xlsx</t>
  </si>
  <si>
    <t>Mei</t>
  </si>
  <si>
    <t>02_rekap_kehadiran_1600_401877_PA Penajam_Mei_2025.xlsx</t>
  </si>
  <si>
    <t>Juni</t>
  </si>
  <si>
    <t>02_rekap_kehadiran_1600_401877_PA Penajam_Juni_2025.xlsx</t>
  </si>
  <si>
    <t>Juli</t>
  </si>
  <si>
    <t>02_rekap_kehadiran_1600_401877_PA Penajam_Juli_2025.xlsx</t>
  </si>
  <si>
    <t>Agustus</t>
  </si>
  <si>
    <t>02_rekap_kehadiran_1600_401877_PA Penajam_Agustus_2025.xlsx</t>
  </si>
  <si>
    <t>September</t>
  </si>
  <si>
    <t>02_rekap_kehadiran_1600_401877_PA Penajam_September_2025.xlsx</t>
  </si>
  <si>
    <t>Oktober</t>
  </si>
  <si>
    <t>02_rekap_kehadiran_1600_401877_PA Penajam_Oktober_2025.xlsx</t>
  </si>
  <si>
    <t>November</t>
  </si>
  <si>
    <t>02_rekap_kehadiran_1600_401877_PA Penajam_November_2025.xlsx</t>
  </si>
  <si>
    <t>Desember</t>
  </si>
  <si>
    <t>02_rekap_kehadiran_1600_401877_PA Penajam_Desember_2025.xlsx</t>
  </si>
  <si>
    <t>Ringkasan (Dinilai)</t>
  </si>
  <si>
    <t>Rata-rata Score 1</t>
  </si>
  <si>
    <t>Rata-rata Score 2</t>
  </si>
  <si>
    <t>Rata-rata Score 3</t>
  </si>
  <si>
    <t>Rata-rata Total Skor</t>
  </si>
  <si>
    <t>Total Datang &lt;08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</si>
</sst>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4" sqref="A4:J4"/>
    </sheetView>
  </sheetViews>
  <sheetFormatPr defaultRowHeight="14.4" outlineLevelRow="0" outlineLevelCol="0"/>
  <cols>
    <col min="1" max="1" width="114.258" bestFit="true" customWidth="true" style="0"/>
    <col min="2" max="2" width="45.846" bestFit="true" customWidth="true" style="0"/>
    <col min="3" max="3" width="97.833" bestFit="true" customWidth="true" style="0"/>
    <col min="4" max="4" width="6.998" bestFit="true" customWidth="true" style="0"/>
    <col min="5" max="5" width="12.854" bestFit="true" customWidth="true" style="0"/>
    <col min="6" max="6" width="6.998" bestFit="true" customWidth="true" style="0"/>
    <col min="7" max="7" width="13.997" bestFit="true" customWidth="true" style="0"/>
    <col min="8" max="8" width="16.425" bestFit="true" customWidth="true" style="0"/>
    <col min="9" max="9" width="30.564" bestFit="true" customWidth="true" style="0"/>
    <col min="10" max="10" width="31.707" bestFit="true" customWidth="true" style="0"/>
  </cols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4" spans="1:10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1</v>
      </c>
      <c r="H5">
        <v>12</v>
      </c>
      <c r="I5">
        <v>96.86</v>
      </c>
      <c r="J5">
        <v>96.86</v>
      </c>
    </row>
    <row r="6" spans="1:10">
      <c r="A6" t="s">
        <v>19</v>
      </c>
      <c r="B6" t="s">
        <v>20</v>
      </c>
      <c r="C6" t="s">
        <v>21</v>
      </c>
      <c r="F6" t="s">
        <v>18</v>
      </c>
      <c r="G6">
        <v>1</v>
      </c>
      <c r="H6">
        <v>8</v>
      </c>
      <c r="I6">
        <v>85.73999999999999</v>
      </c>
      <c r="J6">
        <v>73.83</v>
      </c>
    </row>
    <row r="7" spans="1:10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18</v>
      </c>
      <c r="G7">
        <v>1</v>
      </c>
      <c r="H7">
        <v>12</v>
      </c>
      <c r="I7">
        <v>99.78</v>
      </c>
      <c r="J7">
        <v>99.78</v>
      </c>
    </row>
    <row r="8" spans="1:10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</v>
      </c>
      <c r="H8">
        <v>4</v>
      </c>
      <c r="I8">
        <v>98.13</v>
      </c>
      <c r="J8">
        <v>66.040000000000006</v>
      </c>
    </row>
    <row r="9" spans="1:10">
      <c r="A9" t="s">
        <v>33</v>
      </c>
      <c r="B9" t="s">
        <v>34</v>
      </c>
      <c r="C9" t="s">
        <v>35</v>
      </c>
      <c r="D9" t="s">
        <v>36</v>
      </c>
      <c r="E9" t="s">
        <v>31</v>
      </c>
      <c r="F9" t="s">
        <v>32</v>
      </c>
      <c r="G9">
        <v>9</v>
      </c>
      <c r="H9">
        <v>4</v>
      </c>
      <c r="I9">
        <v>97.31999999999999</v>
      </c>
      <c r="J9">
        <v>65.77</v>
      </c>
    </row>
    <row r="10" spans="1:10">
      <c r="A10" t="s">
        <v>37</v>
      </c>
      <c r="B10" t="s">
        <v>38</v>
      </c>
      <c r="C10" t="s">
        <v>39</v>
      </c>
      <c r="D10" t="s">
        <v>16</v>
      </c>
      <c r="E10" t="s">
        <v>40</v>
      </c>
      <c r="F10" t="s">
        <v>18</v>
      </c>
      <c r="G10">
        <v>1</v>
      </c>
      <c r="H10">
        <v>12</v>
      </c>
      <c r="I10">
        <v>97.61</v>
      </c>
      <c r="J10">
        <v>97.61</v>
      </c>
    </row>
    <row r="11" spans="1:10">
      <c r="A11" t="s">
        <v>41</v>
      </c>
      <c r="B11" t="s">
        <v>42</v>
      </c>
      <c r="C11" t="s">
        <v>43</v>
      </c>
      <c r="D11" t="s">
        <v>16</v>
      </c>
      <c r="E11" t="s">
        <v>44</v>
      </c>
      <c r="F11" t="s">
        <v>18</v>
      </c>
      <c r="G11">
        <v>1</v>
      </c>
      <c r="H11">
        <v>12</v>
      </c>
      <c r="I11">
        <v>96.31</v>
      </c>
      <c r="J11">
        <v>96.31</v>
      </c>
    </row>
    <row r="12" spans="1:10">
      <c r="A12" t="s">
        <v>45</v>
      </c>
      <c r="B12" t="s">
        <v>46</v>
      </c>
      <c r="C12" t="s">
        <v>47</v>
      </c>
      <c r="F12" t="s">
        <v>18</v>
      </c>
      <c r="G12">
        <v>1</v>
      </c>
      <c r="H12">
        <v>6</v>
      </c>
      <c r="I12">
        <v>100.0</v>
      </c>
      <c r="J12">
        <v>75.0</v>
      </c>
    </row>
    <row r="13" spans="1:10">
      <c r="A13" t="s">
        <v>48</v>
      </c>
      <c r="B13" t="s">
        <v>49</v>
      </c>
      <c r="C13" t="s">
        <v>50</v>
      </c>
      <c r="D13" t="s">
        <v>25</v>
      </c>
      <c r="E13" t="s">
        <v>51</v>
      </c>
      <c r="F13" t="s">
        <v>18</v>
      </c>
      <c r="G13">
        <v>1</v>
      </c>
      <c r="H13">
        <v>4</v>
      </c>
      <c r="I13">
        <v>98.81</v>
      </c>
      <c r="J13">
        <v>66.27</v>
      </c>
    </row>
    <row r="14" spans="1:10">
      <c r="A14" t="s">
        <v>52</v>
      </c>
      <c r="B14" t="s">
        <v>53</v>
      </c>
      <c r="C14" t="s">
        <v>54</v>
      </c>
      <c r="D14" t="s">
        <v>16</v>
      </c>
      <c r="E14" t="s">
        <v>55</v>
      </c>
      <c r="F14" t="s">
        <v>18</v>
      </c>
      <c r="G14">
        <v>1</v>
      </c>
      <c r="H14">
        <v>12</v>
      </c>
      <c r="I14">
        <v>98.61</v>
      </c>
      <c r="J14">
        <v>98.61</v>
      </c>
    </row>
    <row r="15" spans="1:10">
      <c r="A15" t="s">
        <v>56</v>
      </c>
      <c r="B15" t="s">
        <v>57</v>
      </c>
      <c r="C15" t="s">
        <v>24</v>
      </c>
      <c r="D15" t="s">
        <v>25</v>
      </c>
      <c r="E15" t="s">
        <v>58</v>
      </c>
      <c r="F15" t="s">
        <v>18</v>
      </c>
      <c r="G15">
        <v>1</v>
      </c>
      <c r="H15">
        <v>12</v>
      </c>
      <c r="I15">
        <v>98.76000000000001</v>
      </c>
      <c r="J15">
        <v>98.76000000000001</v>
      </c>
    </row>
    <row r="16" spans="1:10">
      <c r="A16" t="s">
        <v>59</v>
      </c>
      <c r="B16" t="s">
        <v>60</v>
      </c>
      <c r="C16" t="s">
        <v>61</v>
      </c>
      <c r="D16" t="s">
        <v>62</v>
      </c>
      <c r="E16" t="s">
        <v>31</v>
      </c>
      <c r="F16" t="s">
        <v>32</v>
      </c>
      <c r="G16">
        <v>9</v>
      </c>
      <c r="H16">
        <v>4</v>
      </c>
      <c r="I16">
        <v>99.34</v>
      </c>
      <c r="J16">
        <v>66.45</v>
      </c>
    </row>
    <row r="17" spans="1:10">
      <c r="A17" t="s">
        <v>63</v>
      </c>
      <c r="B17" t="s">
        <v>64</v>
      </c>
      <c r="C17" t="s">
        <v>65</v>
      </c>
      <c r="F17" t="s">
        <v>18</v>
      </c>
      <c r="G17">
        <v>1</v>
      </c>
      <c r="H17">
        <v>5</v>
      </c>
      <c r="I17">
        <v>88.90000000000001</v>
      </c>
      <c r="J17">
        <v>66.20999999999999</v>
      </c>
    </row>
    <row r="18" spans="1:10">
      <c r="A18" t="s">
        <v>66</v>
      </c>
      <c r="B18" t="s">
        <v>67</v>
      </c>
      <c r="C18" t="s">
        <v>50</v>
      </c>
      <c r="D18" t="s">
        <v>68</v>
      </c>
      <c r="E18" t="s">
        <v>51</v>
      </c>
      <c r="F18" t="s">
        <v>18</v>
      </c>
      <c r="G18">
        <v>1</v>
      </c>
      <c r="H18">
        <v>12</v>
      </c>
      <c r="I18">
        <v>97.44</v>
      </c>
      <c r="J18">
        <v>97.44</v>
      </c>
    </row>
    <row r="19" spans="1:10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18</v>
      </c>
      <c r="G19">
        <v>1</v>
      </c>
      <c r="H19">
        <v>12</v>
      </c>
      <c r="I19">
        <v>99.5</v>
      </c>
      <c r="J19">
        <v>99.5</v>
      </c>
    </row>
    <row r="20" spans="1:10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18</v>
      </c>
      <c r="G20">
        <v>1</v>
      </c>
      <c r="H20">
        <v>12</v>
      </c>
      <c r="I20">
        <v>99.079999999999998</v>
      </c>
      <c r="J20">
        <v>99.079999999999998</v>
      </c>
    </row>
    <row r="21" spans="1:10">
      <c r="A21" t="s">
        <v>79</v>
      </c>
      <c r="B21" t="s">
        <v>80</v>
      </c>
      <c r="C21" t="s">
        <v>71</v>
      </c>
      <c r="D21" t="s">
        <v>81</v>
      </c>
      <c r="E21" t="s">
        <v>73</v>
      </c>
      <c r="F21" t="s">
        <v>18</v>
      </c>
      <c r="G21">
        <v>1</v>
      </c>
      <c r="H21">
        <v>12</v>
      </c>
      <c r="I21">
        <v>91.67</v>
      </c>
      <c r="J21">
        <v>91.67</v>
      </c>
    </row>
    <row r="22" spans="1:10">
      <c r="A22" t="s">
        <v>82</v>
      </c>
      <c r="B22" t="s">
        <v>83</v>
      </c>
      <c r="C22" t="s">
        <v>84</v>
      </c>
      <c r="D22" t="s">
        <v>81</v>
      </c>
      <c r="E22" t="s">
        <v>85</v>
      </c>
      <c r="F22" t="s">
        <v>18</v>
      </c>
      <c r="G22">
        <v>1</v>
      </c>
      <c r="H22">
        <v>12</v>
      </c>
      <c r="I22">
        <v>99.67</v>
      </c>
      <c r="J22">
        <v>99.67</v>
      </c>
    </row>
    <row r="23" spans="1:10">
      <c r="A23" t="s">
        <v>86</v>
      </c>
      <c r="B23" t="s">
        <v>87</v>
      </c>
      <c r="C23" t="s">
        <v>61</v>
      </c>
      <c r="D23" t="s">
        <v>62</v>
      </c>
      <c r="E23" t="s">
        <v>31</v>
      </c>
      <c r="F23" t="s">
        <v>32</v>
      </c>
      <c r="G23">
        <v>9</v>
      </c>
      <c r="H23">
        <v>4</v>
      </c>
      <c r="I23">
        <v>99.41</v>
      </c>
      <c r="J23">
        <v>66.47</v>
      </c>
    </row>
    <row r="24" spans="1:10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 t="s">
        <v>18</v>
      </c>
      <c r="G24">
        <v>1</v>
      </c>
      <c r="H24">
        <v>12</v>
      </c>
      <c r="I24">
        <v>98.090000000000003</v>
      </c>
      <c r="J24">
        <v>98.090000000000003</v>
      </c>
    </row>
    <row r="25" spans="1:10">
      <c r="A25" t="s">
        <v>93</v>
      </c>
      <c r="B25" t="s">
        <v>94</v>
      </c>
      <c r="C25" t="s">
        <v>95</v>
      </c>
      <c r="D25" t="s">
        <v>72</v>
      </c>
      <c r="E25" t="s">
        <v>96</v>
      </c>
      <c r="F25" t="s">
        <v>18</v>
      </c>
      <c r="G25">
        <v>1</v>
      </c>
      <c r="H25">
        <v>8</v>
      </c>
      <c r="I25">
        <v>86.47</v>
      </c>
      <c r="J25">
        <v>74.31</v>
      </c>
    </row>
    <row r="26" spans="1:10">
      <c r="A26" t="s">
        <v>97</v>
      </c>
      <c r="B26" t="s">
        <v>98</v>
      </c>
      <c r="C26" t="s">
        <v>61</v>
      </c>
      <c r="D26" t="s">
        <v>62</v>
      </c>
      <c r="E26" t="s">
        <v>31</v>
      </c>
      <c r="F26" t="s">
        <v>32</v>
      </c>
      <c r="G26">
        <v>9</v>
      </c>
      <c r="H26">
        <v>4</v>
      </c>
      <c r="I26">
        <v>95.14</v>
      </c>
      <c r="J26">
        <v>65.049999999999997</v>
      </c>
    </row>
    <row r="27" spans="1:10">
      <c r="A27" t="s">
        <v>99</v>
      </c>
      <c r="B27" t="s">
        <v>100</v>
      </c>
      <c r="C27" t="s">
        <v>101</v>
      </c>
      <c r="D27" t="s">
        <v>91</v>
      </c>
      <c r="E27" t="s">
        <v>73</v>
      </c>
      <c r="F27" t="s">
        <v>18</v>
      </c>
      <c r="G27">
        <v>1</v>
      </c>
      <c r="H27">
        <v>12</v>
      </c>
      <c r="I27">
        <v>96.79000000000001</v>
      </c>
      <c r="J27">
        <v>96.79000000000001</v>
      </c>
    </row>
    <row r="28" spans="1:10">
      <c r="A28" t="s">
        <v>102</v>
      </c>
      <c r="B28" t="s">
        <v>103</v>
      </c>
      <c r="C28" t="s">
        <v>104</v>
      </c>
      <c r="D28" t="s">
        <v>77</v>
      </c>
      <c r="E28" t="s">
        <v>105</v>
      </c>
      <c r="F28" t="s">
        <v>18</v>
      </c>
      <c r="G28">
        <v>1</v>
      </c>
      <c r="H28">
        <v>7</v>
      </c>
      <c r="I28">
        <v>99.68000000000001</v>
      </c>
      <c r="J28">
        <v>78.98</v>
      </c>
    </row>
    <row r="29" spans="1:10">
      <c r="A29" t="s">
        <v>106</v>
      </c>
      <c r="B29" t="s">
        <v>107</v>
      </c>
      <c r="C29" t="s">
        <v>104</v>
      </c>
      <c r="D29" t="s">
        <v>77</v>
      </c>
      <c r="E29" t="s">
        <v>105</v>
      </c>
      <c r="F29" t="s">
        <v>18</v>
      </c>
      <c r="G29">
        <v>1</v>
      </c>
      <c r="H29">
        <v>7</v>
      </c>
      <c r="I29">
        <v>98.64</v>
      </c>
      <c r="J29">
        <v>78.37</v>
      </c>
    </row>
    <row r="30" spans="1:10">
      <c r="A30" t="s">
        <v>108</v>
      </c>
      <c r="B30" t="s">
        <v>109</v>
      </c>
      <c r="C30" t="s">
        <v>90</v>
      </c>
      <c r="D30" t="s">
        <v>91</v>
      </c>
      <c r="E30" t="s">
        <v>92</v>
      </c>
      <c r="F30" t="s">
        <v>18</v>
      </c>
      <c r="G30">
        <v>1</v>
      </c>
      <c r="H30">
        <v>6</v>
      </c>
      <c r="I30">
        <v>99.76000000000001</v>
      </c>
      <c r="J30">
        <v>74.88</v>
      </c>
    </row>
    <row r="31" spans="1:10">
      <c r="A31" t="s">
        <v>110</v>
      </c>
      <c r="B31" t="s">
        <v>111</v>
      </c>
      <c r="C31" t="s">
        <v>95</v>
      </c>
      <c r="D31" t="s">
        <v>72</v>
      </c>
      <c r="E31" t="s">
        <v>112</v>
      </c>
      <c r="F31" t="s">
        <v>18</v>
      </c>
      <c r="G31">
        <v>1</v>
      </c>
      <c r="H31">
        <v>8</v>
      </c>
      <c r="I31">
        <v>92.88</v>
      </c>
      <c r="J31">
        <v>78.59</v>
      </c>
    </row>
    <row r="32" spans="1:10">
      <c r="A32" t="s">
        <v>113</v>
      </c>
      <c r="B32" t="s">
        <v>114</v>
      </c>
      <c r="C32" t="s">
        <v>115</v>
      </c>
      <c r="D32" t="s">
        <v>77</v>
      </c>
      <c r="E32" t="s">
        <v>112</v>
      </c>
      <c r="F32" t="s">
        <v>18</v>
      </c>
      <c r="G32">
        <v>1</v>
      </c>
      <c r="H32">
        <v>8</v>
      </c>
      <c r="I32">
        <v>93.13</v>
      </c>
      <c r="J32">
        <v>78.75</v>
      </c>
    </row>
    <row r="33" spans="1:10">
      <c r="A33" t="s">
        <v>116</v>
      </c>
      <c r="B33" t="s">
        <v>117</v>
      </c>
      <c r="C33" t="s">
        <v>61</v>
      </c>
      <c r="D33" t="s">
        <v>62</v>
      </c>
      <c r="E33" t="s">
        <v>31</v>
      </c>
      <c r="F33" t="s">
        <v>32</v>
      </c>
      <c r="G33">
        <v>9</v>
      </c>
      <c r="H33">
        <v>4</v>
      </c>
      <c r="I33">
        <v>99.41</v>
      </c>
      <c r="J33">
        <v>66.47</v>
      </c>
    </row>
    <row r="34" spans="1:10">
      <c r="A34" t="s">
        <v>118</v>
      </c>
      <c r="B34" t="s">
        <v>119</v>
      </c>
      <c r="C34" t="s">
        <v>101</v>
      </c>
      <c r="D34" t="s">
        <v>77</v>
      </c>
      <c r="E34" t="s">
        <v>112</v>
      </c>
      <c r="F34" t="s">
        <v>18</v>
      </c>
      <c r="G34">
        <v>1</v>
      </c>
      <c r="H34">
        <v>8</v>
      </c>
      <c r="I34">
        <v>92.86</v>
      </c>
      <c r="J34">
        <v>78.56999999999999</v>
      </c>
    </row>
    <row r="35" spans="1:10">
      <c r="A35" t="s">
        <v>120</v>
      </c>
      <c r="B35" t="s">
        <v>121</v>
      </c>
      <c r="C35" t="s">
        <v>101</v>
      </c>
      <c r="D35" t="s">
        <v>77</v>
      </c>
      <c r="E35" t="s">
        <v>112</v>
      </c>
      <c r="F35" t="s">
        <v>18</v>
      </c>
      <c r="G35">
        <v>1</v>
      </c>
      <c r="H35">
        <v>8</v>
      </c>
      <c r="I35">
        <v>93.16</v>
      </c>
      <c r="J35">
        <v>78.77</v>
      </c>
    </row>
    <row r="36" spans="1:10">
      <c r="A36" t="s">
        <v>122</v>
      </c>
      <c r="B36" t="s">
        <v>123</v>
      </c>
      <c r="C36" t="s">
        <v>101</v>
      </c>
      <c r="D36" t="s">
        <v>77</v>
      </c>
      <c r="E36" t="s">
        <v>124</v>
      </c>
      <c r="F36" t="s">
        <v>18</v>
      </c>
      <c r="G36">
        <v>1</v>
      </c>
      <c r="H36">
        <v>12</v>
      </c>
      <c r="I36">
        <v>99.27</v>
      </c>
      <c r="J36">
        <v>99.27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8.848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13</v>
      </c>
    </row>
    <row r="3" spans="1:18">
      <c r="A3" t="s">
        <v>4</v>
      </c>
      <c r="B3" t="s">
        <v>14</v>
      </c>
    </row>
    <row r="4" spans="1:18">
      <c r="A4" t="s">
        <v>5</v>
      </c>
      <c r="B4" t="s">
        <v>15</v>
      </c>
    </row>
    <row r="5" spans="1:18">
      <c r="A5" t="s">
        <v>6</v>
      </c>
      <c r="B5" t="s">
        <v>16</v>
      </c>
    </row>
    <row r="6" spans="1:18">
      <c r="A6" t="s">
        <v>7</v>
      </c>
      <c r="B6" t="s">
        <v>17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7</v>
      </c>
      <c r="F11">
        <v>12</v>
      </c>
      <c r="G11">
        <v>12</v>
      </c>
      <c r="H11">
        <v>12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12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14</v>
      </c>
      <c r="F12">
        <v>6</v>
      </c>
      <c r="G12">
        <v>5</v>
      </c>
      <c r="H12">
        <v>5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41.67</v>
      </c>
      <c r="N12">
        <f>ROUND(MAX(0,(100-K12)*0.35),2)</f>
        <v>35</v>
      </c>
      <c r="O12">
        <f>IF(L12&gt;0,0,15)</f>
        <v>15</v>
      </c>
      <c r="P12">
        <f>ROUND(M12+N12+O12,2)</f>
        <v>91.67</v>
      </c>
      <c r="Q12">
        <v>1</v>
      </c>
      <c r="R12">
        <v>3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1</v>
      </c>
      <c r="F13">
        <v>18</v>
      </c>
      <c r="G13">
        <v>18</v>
      </c>
      <c r="H13">
        <v>18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18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14</v>
      </c>
      <c r="H14">
        <v>14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43.75</v>
      </c>
      <c r="N14">
        <f>ROUND(MAX(0,(100-K14)*0.35),2)</f>
        <v>35</v>
      </c>
      <c r="O14">
        <f>IF(L14&gt;0,0,15)</f>
        <v>15</v>
      </c>
      <c r="P14">
        <f>ROUND(M14+N14+O14,2)</f>
        <v>93.75</v>
      </c>
      <c r="Q14">
        <v>1</v>
      </c>
      <c r="R14">
        <v>13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3</v>
      </c>
      <c r="F16">
        <v>15</v>
      </c>
      <c r="G16">
        <v>15</v>
      </c>
      <c r="H16">
        <v>15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15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1</v>
      </c>
      <c r="F17">
        <v>22</v>
      </c>
      <c r="G17">
        <v>21</v>
      </c>
      <c r="H17">
        <v>21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47.73</v>
      </c>
      <c r="N17">
        <f>ROUND(MAX(0,(100-K17)*0.35),2)</f>
        <v>35</v>
      </c>
      <c r="O17">
        <f>IF(L17&gt;0,0,15)</f>
        <v>15</v>
      </c>
      <c r="P17">
        <f>ROUND(M17+N17+O17,2)</f>
        <v>97.73</v>
      </c>
      <c r="Q17">
        <v>1</v>
      </c>
      <c r="R17">
        <v>21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2</v>
      </c>
      <c r="F18">
        <v>18</v>
      </c>
      <c r="G18">
        <v>18</v>
      </c>
      <c r="H18">
        <v>18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18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5</v>
      </c>
      <c r="F20">
        <v>18</v>
      </c>
      <c r="G20">
        <v>18</v>
      </c>
      <c r="H20">
        <v>18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18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2</v>
      </c>
      <c r="F21">
        <v>18</v>
      </c>
      <c r="G21">
        <v>15</v>
      </c>
      <c r="H21">
        <v>15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41.67</v>
      </c>
      <c r="N21">
        <f>ROUND(MAX(0,(100-K21)*0.35),2)</f>
        <v>35</v>
      </c>
      <c r="O21">
        <f>IF(L21&gt;0,0,15)</f>
        <v>15</v>
      </c>
      <c r="P21">
        <f>ROUND(M21+N21+O21,2)</f>
        <v>91.67</v>
      </c>
      <c r="Q21">
        <v>1</v>
      </c>
      <c r="R21">
        <v>15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1</v>
      </c>
      <c r="F22">
        <v>20</v>
      </c>
      <c r="G22">
        <v>15</v>
      </c>
      <c r="H22">
        <v>15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37.5</v>
      </c>
      <c r="N22">
        <f>ROUND(MAX(0,(100-K22)*0.35),2)</f>
        <v>35</v>
      </c>
      <c r="O22">
        <f>IF(L22&gt;0,0,15)</f>
        <v>15</v>
      </c>
      <c r="P22">
        <f>ROUND(M22+N22+O22,2)</f>
        <v>87.5</v>
      </c>
      <c r="Q22">
        <v>1</v>
      </c>
      <c r="R22">
        <v>16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46.86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96.86</v>
      </c>
    </row>
    <row r="29" spans="1:18">
      <c r="A29" t="s">
        <v>174</v>
      </c>
      <c r="B29">
        <f>SUMIF(Q11:Q22,1,R11:R22)</f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97.83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22.28" bestFit="true" customWidth="true" style="0"/>
    <col min="14" max="14" width="16.425" bestFit="true" customWidth="true" style="0"/>
    <col min="15" max="15" width="16.425" bestFit="true" customWidth="true" style="0"/>
    <col min="16" max="16" width="22.2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19</v>
      </c>
    </row>
    <row r="3" spans="1:18">
      <c r="A3" t="s">
        <v>4</v>
      </c>
      <c r="B3" t="s">
        <v>20</v>
      </c>
    </row>
    <row r="4" spans="1:18">
      <c r="A4" t="s">
        <v>5</v>
      </c>
      <c r="B4" t="s">
        <v>21</v>
      </c>
    </row>
    <row r="5" spans="1:18">
      <c r="A5" t="s">
        <v>6</v>
      </c>
    </row>
    <row r="6" spans="1:18">
      <c r="A6" t="s">
        <v>7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19</v>
      </c>
      <c r="H11">
        <v>19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14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2</v>
      </c>
      <c r="F12">
        <v>18</v>
      </c>
      <c r="G12">
        <v>13</v>
      </c>
      <c r="H12">
        <v>12</v>
      </c>
      <c r="I12">
        <v>0.0</v>
      </c>
      <c r="J12">
        <v>1.5</v>
      </c>
      <c r="K12">
        <f>ROUND(I12+J12,2)</f>
        <v>1.5</v>
      </c>
      <c r="L12">
        <v>0</v>
      </c>
      <c r="M12">
        <f>IF(F12=0,0,ROUND(((G12+H12)/(F12*2))*50,2))</f>
        <v>34.72</v>
      </c>
      <c r="N12">
        <f>ROUND(MAX(0,(100-K12)*0.35),2)</f>
        <v>34.47</v>
      </c>
      <c r="O12">
        <f>IF(L12&gt;0,0,15)</f>
        <v>15</v>
      </c>
      <c r="P12">
        <f>ROUND(M12+N12+O12,2)</f>
        <v>84.19</v>
      </c>
      <c r="Q12">
        <v>1</v>
      </c>
      <c r="R12">
        <v>9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14</v>
      </c>
      <c r="F13">
        <v>5</v>
      </c>
      <c r="G13">
        <v>3</v>
      </c>
      <c r="H13">
        <v>4</v>
      </c>
      <c r="I13">
        <v>1.5</v>
      </c>
      <c r="J13">
        <v>1.5</v>
      </c>
      <c r="K13">
        <f>ROUND(I13+J13,2)</f>
        <v>3</v>
      </c>
      <c r="L13">
        <v>0</v>
      </c>
      <c r="M13">
        <f>IF(F13=0,0,ROUND(((G13+H13)/(F13*2))*50,2))</f>
        <v>35</v>
      </c>
      <c r="N13">
        <f>ROUND(MAX(0,(100-K13)*0.35),2)</f>
        <v>33.95</v>
      </c>
      <c r="O13">
        <f>IF(L13&gt;0,0,15)</f>
        <v>15</v>
      </c>
      <c r="P13">
        <f>ROUND(M13+N13+O13,2)</f>
        <v>83.95</v>
      </c>
      <c r="Q13">
        <v>1</v>
      </c>
      <c r="R13">
        <v>3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9</v>
      </c>
      <c r="F14">
        <v>7</v>
      </c>
      <c r="G14">
        <v>5</v>
      </c>
      <c r="H14">
        <v>4</v>
      </c>
      <c r="I14">
        <v>0.0</v>
      </c>
      <c r="J14">
        <v>1.5</v>
      </c>
      <c r="K14">
        <f>ROUND(I14+J14,2)</f>
        <v>1.5</v>
      </c>
      <c r="L14">
        <v>2</v>
      </c>
      <c r="M14">
        <f>IF(F14=0,0,ROUND(((G14+H14)/(F14*2))*50,2))</f>
        <v>32.14</v>
      </c>
      <c r="N14">
        <f>ROUND(MAX(0,(100-K14)*0.35),2)</f>
        <v>34.47</v>
      </c>
      <c r="O14">
        <f>IF(L14&gt;0,0,15)</f>
        <v>0</v>
      </c>
      <c r="P14">
        <f>ROUND(M14+N14+O14,2)</f>
        <v>66.61</v>
      </c>
      <c r="Q14">
        <v>1</v>
      </c>
      <c r="R14">
        <v>5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1</v>
      </c>
      <c r="F15">
        <v>16</v>
      </c>
      <c r="G15">
        <v>12</v>
      </c>
      <c r="H15">
        <v>13</v>
      </c>
      <c r="I15">
        <v>0.5</v>
      </c>
      <c r="J15">
        <v>0.0</v>
      </c>
      <c r="K15">
        <f>ROUND(I15+J15,2)</f>
        <v>0.5</v>
      </c>
      <c r="L15">
        <v>3</v>
      </c>
      <c r="M15">
        <f>IF(F15=0,0,ROUND(((G15+H15)/(F15*2))*50,2))</f>
        <v>39.060000000000002</v>
      </c>
      <c r="N15">
        <f>ROUND(MAX(0,(100-K15)*0.35),2)</f>
        <v>34.82</v>
      </c>
      <c r="O15">
        <f>IF(L15&gt;0,0,15)</f>
        <v>0</v>
      </c>
      <c r="P15">
        <f>ROUND(M15+N15+O15,2)</f>
        <v>73.88</v>
      </c>
      <c r="Q15">
        <v>1</v>
      </c>
      <c r="R15">
        <v>11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15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21</v>
      </c>
      <c r="H17">
        <v>20</v>
      </c>
      <c r="I17">
        <v>0.0</v>
      </c>
      <c r="J17">
        <v>1.5</v>
      </c>
      <c r="K17">
        <f>ROUND(I17+J17,2)</f>
        <v>1.5</v>
      </c>
      <c r="L17">
        <v>2</v>
      </c>
      <c r="M17">
        <f>IF(F17=0,0,ROUND(((G17+H17)/(F17*2))*50,2))</f>
        <v>44.57</v>
      </c>
      <c r="N17">
        <f>ROUND(MAX(0,(100-K17)*0.35),2)</f>
        <v>34.47</v>
      </c>
      <c r="O17">
        <f>IF(L17&gt;0,0,15)</f>
        <v>0</v>
      </c>
      <c r="P17">
        <f>ROUND(M17+N17+O17,2)</f>
        <v>79.040000000000006</v>
      </c>
      <c r="Q17">
        <v>1</v>
      </c>
      <c r="R17">
        <v>20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19</v>
      </c>
      <c r="H18">
        <v>20</v>
      </c>
      <c r="I18">
        <v>1.5</v>
      </c>
      <c r="J18">
        <v>0.0</v>
      </c>
      <c r="K18">
        <f>ROUND(I18+J18,2)</f>
        <v>1.5</v>
      </c>
      <c r="L18">
        <v>0</v>
      </c>
      <c r="M18">
        <f>IF(F18=0,0,ROUND(((G18+H18)/(F18*2))*50,2))</f>
        <v>48.75</v>
      </c>
      <c r="N18">
        <f>ROUND(MAX(0,(100-K18)*0.35),2)</f>
        <v>34.47</v>
      </c>
      <c r="O18">
        <f>IF(L18&gt;0,0,15)</f>
        <v>15</v>
      </c>
      <c r="P18">
        <f>ROUND(M18+N18+O18,2)</f>
        <v>98.22</v>
      </c>
      <c r="Q18">
        <v>1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0</v>
      </c>
      <c r="H19">
        <v>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0</v>
      </c>
      <c r="N19">
        <f>ROUND(MAX(0,(100-K19)*0.35),2)</f>
        <v>35</v>
      </c>
      <c r="O19">
        <f>IF(L19&gt;0,0,15)</f>
        <v>15</v>
      </c>
      <c r="P19">
        <f>ROUND(M19+N19+O19,2)</f>
        <v>50</v>
      </c>
      <c r="Q19">
        <v>0</v>
      </c>
      <c r="R19">
        <v>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0</v>
      </c>
      <c r="H20">
        <v>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0</v>
      </c>
      <c r="N20">
        <f>ROUND(MAX(0,(100-K20)*0.35),2)</f>
        <v>35</v>
      </c>
      <c r="O20">
        <f>IF(L20&gt;0,0,15)</f>
        <v>15</v>
      </c>
      <c r="P20">
        <f>ROUND(M20+N20+O20,2)</f>
        <v>50</v>
      </c>
      <c r="Q20">
        <v>0</v>
      </c>
      <c r="R20">
        <v>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0</v>
      </c>
      <c r="H21">
        <v>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0</v>
      </c>
      <c r="N21">
        <f>ROUND(MAX(0,(100-K21)*0.35),2)</f>
        <v>35</v>
      </c>
      <c r="O21">
        <f>IF(L21&gt;0,0,15)</f>
        <v>15</v>
      </c>
      <c r="P21">
        <f>ROUND(M21+N21+O21,2)</f>
        <v>50</v>
      </c>
      <c r="Q21">
        <v>0</v>
      </c>
      <c r="R21">
        <v>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0</v>
      </c>
      <c r="H22">
        <v>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0</v>
      </c>
      <c r="N22">
        <f>ROUND(MAX(0,(100-K22)*0.35),2)</f>
        <v>35</v>
      </c>
      <c r="O22">
        <f>IF(L22&gt;0,0,15)</f>
        <v>15</v>
      </c>
      <c r="P22">
        <f>ROUND(M22+N22+O22,2)</f>
        <v>50</v>
      </c>
      <c r="Q22">
        <v>0</v>
      </c>
      <c r="R22">
        <v>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41.78</v>
      </c>
    </row>
    <row r="26" spans="1:18">
      <c r="A26" t="s">
        <v>171</v>
      </c>
      <c r="B26">
        <f>ROUND(AVERAGEIF(Q11:Q22,1,N11:N22),2)</f>
        <v>34.58</v>
      </c>
    </row>
    <row r="27" spans="1:18">
      <c r="A27" t="s">
        <v>172</v>
      </c>
      <c r="B27">
        <f>ROUND(AVERAGEIF(Q11:Q22,1,O11:O22),2)</f>
        <v>9.38</v>
      </c>
    </row>
    <row r="28" spans="1:18">
      <c r="A28" t="s">
        <v>173</v>
      </c>
      <c r="B28">
        <f>ROUND(AVERAGEIF(Q11:Q22,1,P11:P22),2)</f>
        <v>85.73999999999999</v>
      </c>
    </row>
    <row r="29" spans="1:18">
      <c r="A29" t="s">
        <v>174</v>
      </c>
      <c r="B29">
        <f>SUMIF(Q11:Q22,1,R11:R22)</f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22</v>
      </c>
    </row>
    <row r="3" spans="1:18">
      <c r="A3" t="s">
        <v>4</v>
      </c>
      <c r="B3" t="s">
        <v>23</v>
      </c>
    </row>
    <row r="4" spans="1:18">
      <c r="A4" t="s">
        <v>5</v>
      </c>
      <c r="B4" t="s">
        <v>24</v>
      </c>
    </row>
    <row r="5" spans="1:18">
      <c r="A5" t="s">
        <v>6</v>
      </c>
      <c r="B5" t="s">
        <v>25</v>
      </c>
    </row>
    <row r="6" spans="1:18">
      <c r="A6" t="s">
        <v>7</v>
      </c>
      <c r="B6" t="s">
        <v>26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8</v>
      </c>
      <c r="F11">
        <v>11</v>
      </c>
      <c r="G11">
        <v>11</v>
      </c>
      <c r="H11">
        <v>11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11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9</v>
      </c>
      <c r="F12">
        <v>11</v>
      </c>
      <c r="G12">
        <v>11</v>
      </c>
      <c r="H12">
        <v>11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11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19</v>
      </c>
      <c r="H13">
        <v>19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19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16</v>
      </c>
      <c r="H14">
        <v>16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15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4</v>
      </c>
      <c r="F15">
        <v>13</v>
      </c>
      <c r="G15">
        <v>13</v>
      </c>
      <c r="H15">
        <v>13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13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18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4</v>
      </c>
      <c r="F17">
        <v>19</v>
      </c>
      <c r="G17">
        <v>18</v>
      </c>
      <c r="H17">
        <v>18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47.37</v>
      </c>
      <c r="N17">
        <f>ROUND(MAX(0,(100-K17)*0.35),2)</f>
        <v>35</v>
      </c>
      <c r="O17">
        <f>IF(L17&gt;0,0,15)</f>
        <v>15</v>
      </c>
      <c r="P17">
        <f>ROUND(M17+N17+O17,2)</f>
        <v>97.37</v>
      </c>
      <c r="Q17">
        <v>1</v>
      </c>
      <c r="R17">
        <v>18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2</v>
      </c>
      <c r="F18">
        <v>18</v>
      </c>
      <c r="G18">
        <v>18</v>
      </c>
      <c r="H18">
        <v>18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18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</v>
      </c>
      <c r="F19">
        <v>20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5</v>
      </c>
      <c r="F21">
        <v>15</v>
      </c>
      <c r="G21">
        <v>15</v>
      </c>
      <c r="H21">
        <v>15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15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4</v>
      </c>
      <c r="F22">
        <v>17</v>
      </c>
      <c r="G22">
        <v>17</v>
      </c>
      <c r="H22">
        <v>17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50</v>
      </c>
      <c r="N22">
        <f>ROUND(MAX(0,(100-K22)*0.35),2)</f>
        <v>35</v>
      </c>
      <c r="O22">
        <f>IF(L22&gt;0,0,15)</f>
        <v>15</v>
      </c>
      <c r="P22">
        <f>ROUND(M22+N22+O22,2)</f>
        <v>100</v>
      </c>
      <c r="Q22">
        <v>1</v>
      </c>
      <c r="R22">
        <v>17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49.78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99.78</v>
      </c>
    </row>
    <row r="29" spans="1:18">
      <c r="A29" t="s">
        <v>174</v>
      </c>
      <c r="B29">
        <f>SUMIF(Q11:Q22,1,R11:R22)</f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4.135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27</v>
      </c>
    </row>
    <row r="3" spans="1:18">
      <c r="A3" t="s">
        <v>4</v>
      </c>
      <c r="B3" t="s">
        <v>28</v>
      </c>
    </row>
    <row r="4" spans="1:18">
      <c r="A4" t="s">
        <v>5</v>
      </c>
      <c r="B4" t="s">
        <v>29</v>
      </c>
    </row>
    <row r="5" spans="1:18">
      <c r="A5" t="s">
        <v>6</v>
      </c>
      <c r="B5" t="s">
        <v>30</v>
      </c>
    </row>
    <row r="6" spans="1:18">
      <c r="A6" t="s">
        <v>7</v>
      </c>
      <c r="B6" t="s">
        <v>31</v>
      </c>
    </row>
    <row r="7" spans="1:18">
      <c r="A7" t="s">
        <v>8</v>
      </c>
      <c r="B7" t="s">
        <v>32</v>
      </c>
    </row>
    <row r="8" spans="1:18">
      <c r="A8" t="s">
        <v>126</v>
      </c>
      <c r="B8">
        <v>9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</v>
      </c>
      <c r="F19">
        <v>20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1</v>
      </c>
      <c r="F21">
        <v>19</v>
      </c>
      <c r="G21">
        <v>19</v>
      </c>
      <c r="H21">
        <v>19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1</v>
      </c>
      <c r="F22">
        <v>20</v>
      </c>
      <c r="G22">
        <v>17</v>
      </c>
      <c r="H22">
        <v>17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42.5</v>
      </c>
      <c r="N22">
        <f>ROUND(MAX(0,(100-K22)*0.35),2)</f>
        <v>35</v>
      </c>
      <c r="O22">
        <f>IF(L22&gt;0,0,15)</f>
        <v>15</v>
      </c>
      <c r="P22">
        <f>ROUND(M22+N22+O22,2)</f>
        <v>92.5</v>
      </c>
      <c r="Q22">
        <v>1</v>
      </c>
      <c r="R22">
        <v>18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48.13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98.13</v>
      </c>
    </row>
    <row r="29" spans="1:18">
      <c r="A29" t="s">
        <v>174</v>
      </c>
      <c r="B29">
        <f>SUMIF(Q11:Q22,1,R11:R22)</f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1.707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33</v>
      </c>
    </row>
    <row r="3" spans="1:18">
      <c r="A3" t="s">
        <v>4</v>
      </c>
      <c r="B3" t="s">
        <v>34</v>
      </c>
    </row>
    <row r="4" spans="1:18">
      <c r="A4" t="s">
        <v>5</v>
      </c>
      <c r="B4" t="s">
        <v>35</v>
      </c>
    </row>
    <row r="5" spans="1:18">
      <c r="A5" t="s">
        <v>6</v>
      </c>
      <c r="B5" t="s">
        <v>36</v>
      </c>
    </row>
    <row r="6" spans="1:18">
      <c r="A6" t="s">
        <v>7</v>
      </c>
      <c r="B6" t="s">
        <v>31</v>
      </c>
    </row>
    <row r="7" spans="1:18">
      <c r="A7" t="s">
        <v>8</v>
      </c>
      <c r="B7" t="s">
        <v>32</v>
      </c>
    </row>
    <row r="8" spans="1:18">
      <c r="A8" t="s">
        <v>126</v>
      </c>
      <c r="B8">
        <v>9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47.62</v>
      </c>
      <c r="N19">
        <f>ROUND(MAX(0,(100-K19)*0.35),2)</f>
        <v>35</v>
      </c>
      <c r="O19">
        <f>IF(L19&gt;0,0,15)</f>
        <v>15</v>
      </c>
      <c r="P19">
        <f>ROUND(M19+N19+O19,2)</f>
        <v>97.62</v>
      </c>
      <c r="Q19">
        <v>1</v>
      </c>
      <c r="R19">
        <v>20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3</v>
      </c>
      <c r="F22">
        <v>18</v>
      </c>
      <c r="G22">
        <v>15</v>
      </c>
      <c r="H22">
        <v>15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41.67</v>
      </c>
      <c r="N22">
        <f>ROUND(MAX(0,(100-K22)*0.35),2)</f>
        <v>35</v>
      </c>
      <c r="O22">
        <f>IF(L22&gt;0,0,15)</f>
        <v>15</v>
      </c>
      <c r="P22">
        <f>ROUND(M22+N22+O22,2)</f>
        <v>91.67</v>
      </c>
      <c r="Q22">
        <v>1</v>
      </c>
      <c r="R22">
        <v>15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47.32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97.31999999999999</v>
      </c>
    </row>
    <row r="29" spans="1:18">
      <c r="A29" t="s">
        <v>174</v>
      </c>
      <c r="B29">
        <f>SUMIF(Q11:Q22,1,R11:R22)</f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1.13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37</v>
      </c>
    </row>
    <row r="3" spans="1:18">
      <c r="A3" t="s">
        <v>4</v>
      </c>
      <c r="B3" t="s">
        <v>38</v>
      </c>
    </row>
    <row r="4" spans="1:18">
      <c r="A4" t="s">
        <v>5</v>
      </c>
      <c r="B4" t="s">
        <v>39</v>
      </c>
    </row>
    <row r="5" spans="1:18">
      <c r="A5" t="s">
        <v>6</v>
      </c>
      <c r="B5" t="s">
        <v>16</v>
      </c>
    </row>
    <row r="6" spans="1:18">
      <c r="A6" t="s">
        <v>7</v>
      </c>
      <c r="B6" t="s">
        <v>40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2</v>
      </c>
      <c r="F11">
        <v>17</v>
      </c>
      <c r="G11">
        <v>17</v>
      </c>
      <c r="H11">
        <v>17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15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4</v>
      </c>
      <c r="F12">
        <v>16</v>
      </c>
      <c r="G12">
        <v>15</v>
      </c>
      <c r="H12">
        <v>15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46.88</v>
      </c>
      <c r="N12">
        <f>ROUND(MAX(0,(100-K12)*0.35),2)</f>
        <v>35</v>
      </c>
      <c r="O12">
        <f>IF(L12&gt;0,0,15)</f>
        <v>15</v>
      </c>
      <c r="P12">
        <f>ROUND(M12+N12+O12,2)</f>
        <v>96.88</v>
      </c>
      <c r="Q12">
        <v>1</v>
      </c>
      <c r="R12">
        <v>15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19</v>
      </c>
      <c r="H13">
        <v>19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18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4</v>
      </c>
      <c r="F14">
        <v>12</v>
      </c>
      <c r="G14">
        <v>11</v>
      </c>
      <c r="H14">
        <v>11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45.83</v>
      </c>
      <c r="N14">
        <f>ROUND(MAX(0,(100-K14)*0.35),2)</f>
        <v>35</v>
      </c>
      <c r="O14">
        <f>IF(L14&gt;0,0,15)</f>
        <v>15</v>
      </c>
      <c r="P14">
        <f>ROUND(M14+N14+O14,2)</f>
        <v>95.83</v>
      </c>
      <c r="Q14">
        <v>1</v>
      </c>
      <c r="R14">
        <v>11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1</v>
      </c>
      <c r="F16">
        <v>17</v>
      </c>
      <c r="G16">
        <v>17</v>
      </c>
      <c r="H16">
        <v>17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19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2</v>
      </c>
      <c r="F21">
        <v>18</v>
      </c>
      <c r="G21">
        <v>18</v>
      </c>
      <c r="H21">
        <v>18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18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12</v>
      </c>
      <c r="H22">
        <v>12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28.57</v>
      </c>
      <c r="N22">
        <f>ROUND(MAX(0,(100-K22)*0.35),2)</f>
        <v>35</v>
      </c>
      <c r="O22">
        <f>IF(L22&gt;0,0,15)</f>
        <v>15</v>
      </c>
      <c r="P22">
        <f>ROUND(M22+N22+O22,2)</f>
        <v>78.56999999999999</v>
      </c>
      <c r="Q22">
        <v>1</v>
      </c>
      <c r="R22">
        <v>15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47.61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97.61</v>
      </c>
    </row>
    <row r="29" spans="1:18">
      <c r="A29" t="s">
        <v>174</v>
      </c>
      <c r="B29">
        <f>SUMIF(Q11:Q22,1,R11:R22)</f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2.992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41</v>
      </c>
    </row>
    <row r="3" spans="1:18">
      <c r="A3" t="s">
        <v>4</v>
      </c>
      <c r="B3" t="s">
        <v>42</v>
      </c>
    </row>
    <row r="4" spans="1:18">
      <c r="A4" t="s">
        <v>5</v>
      </c>
      <c r="B4" t="s">
        <v>43</v>
      </c>
    </row>
    <row r="5" spans="1:18">
      <c r="A5" t="s">
        <v>6</v>
      </c>
      <c r="B5" t="s">
        <v>16</v>
      </c>
    </row>
    <row r="6" spans="1:18">
      <c r="A6" t="s">
        <v>7</v>
      </c>
      <c r="B6" t="s">
        <v>44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9</v>
      </c>
      <c r="F11">
        <v>10</v>
      </c>
      <c r="G11">
        <v>10</v>
      </c>
      <c r="H11">
        <v>10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7</v>
      </c>
      <c r="F12">
        <v>13</v>
      </c>
      <c r="G12">
        <v>8</v>
      </c>
      <c r="H12">
        <v>8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30.77</v>
      </c>
      <c r="N12">
        <f>ROUND(MAX(0,(100-K12)*0.35),2)</f>
        <v>35</v>
      </c>
      <c r="O12">
        <f>IF(L12&gt;0,0,15)</f>
        <v>15</v>
      </c>
      <c r="P12">
        <f>ROUND(M12+N12+O12,2)</f>
        <v>80.77</v>
      </c>
      <c r="Q12">
        <v>1</v>
      </c>
      <c r="R12">
        <v>8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1</v>
      </c>
      <c r="F13">
        <v>18</v>
      </c>
      <c r="G13">
        <v>18</v>
      </c>
      <c r="H13">
        <v>18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15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3</v>
      </c>
      <c r="F14">
        <v>13</v>
      </c>
      <c r="G14">
        <v>10</v>
      </c>
      <c r="H14">
        <v>10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38.46</v>
      </c>
      <c r="N14">
        <f>ROUND(MAX(0,(100-K14)*0.35),2)</f>
        <v>35</v>
      </c>
      <c r="O14">
        <f>IF(L14&gt;0,0,15)</f>
        <v>15</v>
      </c>
      <c r="P14">
        <f>ROUND(M14+N14+O14,2)</f>
        <v>88.45999999999999</v>
      </c>
      <c r="Q14">
        <v>1</v>
      </c>
      <c r="R14">
        <v>10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1</v>
      </c>
      <c r="F15">
        <v>16</v>
      </c>
      <c r="G15">
        <v>16</v>
      </c>
      <c r="H15">
        <v>16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16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7</v>
      </c>
      <c r="F16">
        <v>11</v>
      </c>
      <c r="G16">
        <v>11</v>
      </c>
      <c r="H16">
        <v>11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2</v>
      </c>
      <c r="F17">
        <v>21</v>
      </c>
      <c r="G17">
        <v>20</v>
      </c>
      <c r="H17">
        <v>20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47.62</v>
      </c>
      <c r="N17">
        <f>ROUND(MAX(0,(100-K17)*0.35),2)</f>
        <v>35</v>
      </c>
      <c r="O17">
        <f>IF(L17&gt;0,0,15)</f>
        <v>15</v>
      </c>
      <c r="P17">
        <f>ROUND(M17+N17+O17,2)</f>
        <v>97.62</v>
      </c>
      <c r="Q17">
        <v>1</v>
      </c>
      <c r="R17">
        <v>20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2</v>
      </c>
      <c r="F18">
        <v>18</v>
      </c>
      <c r="G18">
        <v>18</v>
      </c>
      <c r="H18">
        <v>18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16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3</v>
      </c>
      <c r="F19">
        <v>18</v>
      </c>
      <c r="G19">
        <v>18</v>
      </c>
      <c r="H19">
        <v>18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3</v>
      </c>
      <c r="F20">
        <v>20</v>
      </c>
      <c r="G20">
        <v>20</v>
      </c>
      <c r="H20">
        <v>20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13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13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3</v>
      </c>
      <c r="F22">
        <v>18</v>
      </c>
      <c r="G22">
        <v>14</v>
      </c>
      <c r="H22">
        <v>14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38.89</v>
      </c>
      <c r="N22">
        <f>ROUND(MAX(0,(100-K22)*0.35),2)</f>
        <v>35</v>
      </c>
      <c r="O22">
        <f>IF(L22&gt;0,0,15)</f>
        <v>15</v>
      </c>
      <c r="P22">
        <f>ROUND(M22+N22+O22,2)</f>
        <v>88.89</v>
      </c>
      <c r="Q22">
        <v>1</v>
      </c>
      <c r="R22">
        <v>10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46.31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96.31</v>
      </c>
    </row>
    <row r="29" spans="1:18">
      <c r="A29" t="s">
        <v>174</v>
      </c>
      <c r="B29">
        <f>SUMIF(Q11:Q22,1,R11:R22)</f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23.42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45</v>
      </c>
    </row>
    <row r="3" spans="1:18">
      <c r="A3" t="s">
        <v>4</v>
      </c>
      <c r="B3" t="s">
        <v>46</v>
      </c>
    </row>
    <row r="4" spans="1:18">
      <c r="A4" t="s">
        <v>5</v>
      </c>
      <c r="B4" t="s">
        <v>47</v>
      </c>
    </row>
    <row r="5" spans="1:18">
      <c r="A5" t="s">
        <v>6</v>
      </c>
    </row>
    <row r="6" spans="1:18">
      <c r="A6" t="s">
        <v>7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10</v>
      </c>
      <c r="F11">
        <v>9</v>
      </c>
      <c r="G11">
        <v>9</v>
      </c>
      <c r="H11">
        <v>9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9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9</v>
      </c>
      <c r="F12">
        <v>11</v>
      </c>
      <c r="G12">
        <v>11</v>
      </c>
      <c r="H12">
        <v>11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11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19</v>
      </c>
      <c r="H13">
        <v>19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19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3</v>
      </c>
      <c r="F14">
        <v>13</v>
      </c>
      <c r="G14">
        <v>13</v>
      </c>
      <c r="H14">
        <v>13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13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16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4</v>
      </c>
      <c r="F16">
        <v>14</v>
      </c>
      <c r="G16">
        <v>14</v>
      </c>
      <c r="H16">
        <v>14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14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0</v>
      </c>
      <c r="H19">
        <v>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0</v>
      </c>
      <c r="N19">
        <f>ROUND(MAX(0,(100-K19)*0.35),2)</f>
        <v>35</v>
      </c>
      <c r="O19">
        <f>IF(L19&gt;0,0,15)</f>
        <v>15</v>
      </c>
      <c r="P19">
        <f>ROUND(M19+N19+O19,2)</f>
        <v>50</v>
      </c>
      <c r="Q19">
        <v>0</v>
      </c>
      <c r="R19">
        <v>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0</v>
      </c>
      <c r="H20">
        <v>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0</v>
      </c>
      <c r="N20">
        <f>ROUND(MAX(0,(100-K20)*0.35),2)</f>
        <v>35</v>
      </c>
      <c r="O20">
        <f>IF(L20&gt;0,0,15)</f>
        <v>15</v>
      </c>
      <c r="P20">
        <f>ROUND(M20+N20+O20,2)</f>
        <v>50</v>
      </c>
      <c r="Q20">
        <v>0</v>
      </c>
      <c r="R20">
        <v>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0</v>
      </c>
      <c r="H21">
        <v>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0</v>
      </c>
      <c r="N21">
        <f>ROUND(MAX(0,(100-K21)*0.35),2)</f>
        <v>35</v>
      </c>
      <c r="O21">
        <f>IF(L21&gt;0,0,15)</f>
        <v>15</v>
      </c>
      <c r="P21">
        <f>ROUND(M21+N21+O21,2)</f>
        <v>50</v>
      </c>
      <c r="Q21">
        <v>0</v>
      </c>
      <c r="R21">
        <v>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0</v>
      </c>
      <c r="H22">
        <v>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0</v>
      </c>
      <c r="N22">
        <f>ROUND(MAX(0,(100-K22)*0.35),2)</f>
        <v>35</v>
      </c>
      <c r="O22">
        <f>IF(L22&gt;0,0,15)</f>
        <v>15</v>
      </c>
      <c r="P22">
        <f>ROUND(M22+N22+O22,2)</f>
        <v>50</v>
      </c>
      <c r="Q22">
        <v>0</v>
      </c>
      <c r="R22">
        <v>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50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100</v>
      </c>
    </row>
    <row r="29" spans="1:18">
      <c r="A29" t="s">
        <v>174</v>
      </c>
      <c r="B29">
        <f>SUMIF(Q11:Q22,1,R11:R22)</f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25.851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48</v>
      </c>
    </row>
    <row r="3" spans="1:18">
      <c r="A3" t="s">
        <v>4</v>
      </c>
      <c r="B3" t="s">
        <v>49</v>
      </c>
    </row>
    <row r="4" spans="1:18">
      <c r="A4" t="s">
        <v>5</v>
      </c>
      <c r="B4" t="s">
        <v>50</v>
      </c>
    </row>
    <row r="5" spans="1:18">
      <c r="A5" t="s">
        <v>6</v>
      </c>
      <c r="B5" t="s">
        <v>25</v>
      </c>
    </row>
    <row r="6" spans="1:18">
      <c r="A6" t="s">
        <v>7</v>
      </c>
      <c r="B6" t="s">
        <v>51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19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13</v>
      </c>
      <c r="F19">
        <v>8</v>
      </c>
      <c r="G19">
        <v>8</v>
      </c>
      <c r="H19">
        <v>8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8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1</v>
      </c>
      <c r="F20">
        <v>22</v>
      </c>
      <c r="G20">
        <v>22</v>
      </c>
      <c r="H20">
        <v>22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22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4</v>
      </c>
      <c r="F21">
        <v>16</v>
      </c>
      <c r="G21">
        <v>16</v>
      </c>
      <c r="H21">
        <v>16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16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19</v>
      </c>
      <c r="H22">
        <v>19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45.24</v>
      </c>
      <c r="N22">
        <f>ROUND(MAX(0,(100-K22)*0.35),2)</f>
        <v>35</v>
      </c>
      <c r="O22">
        <f>IF(L22&gt;0,0,15)</f>
        <v>15</v>
      </c>
      <c r="P22">
        <f>ROUND(M22+N22+O22,2)</f>
        <v>95.23999999999999</v>
      </c>
      <c r="Q22">
        <v>1</v>
      </c>
      <c r="R22">
        <v>20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48.81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98.81</v>
      </c>
    </row>
    <row r="29" spans="1:18">
      <c r="A29" t="s">
        <v>174</v>
      </c>
      <c r="B29">
        <f>SUMIF(Q11:Q22,1,R11:R22)</f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8.274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52</v>
      </c>
    </row>
    <row r="3" spans="1:18">
      <c r="A3" t="s">
        <v>4</v>
      </c>
      <c r="B3" t="s">
        <v>53</v>
      </c>
    </row>
    <row r="4" spans="1:18">
      <c r="A4" t="s">
        <v>5</v>
      </c>
      <c r="B4" t="s">
        <v>54</v>
      </c>
    </row>
    <row r="5" spans="1:18">
      <c r="A5" t="s">
        <v>6</v>
      </c>
      <c r="B5" t="s">
        <v>16</v>
      </c>
    </row>
    <row r="6" spans="1:18">
      <c r="A6" t="s">
        <v>7</v>
      </c>
      <c r="B6" t="s">
        <v>55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7</v>
      </c>
      <c r="F11">
        <v>12</v>
      </c>
      <c r="G11">
        <v>12</v>
      </c>
      <c r="H11">
        <v>12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12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16</v>
      </c>
      <c r="F12">
        <v>4</v>
      </c>
      <c r="G12">
        <v>4</v>
      </c>
      <c r="H12">
        <v>4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4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4</v>
      </c>
      <c r="F13">
        <v>15</v>
      </c>
      <c r="G13">
        <v>15</v>
      </c>
      <c r="H13">
        <v>15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14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4</v>
      </c>
      <c r="F14">
        <v>12</v>
      </c>
      <c r="G14">
        <v>10</v>
      </c>
      <c r="H14">
        <v>10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41.67</v>
      </c>
      <c r="N14">
        <f>ROUND(MAX(0,(100-K14)*0.35),2)</f>
        <v>35</v>
      </c>
      <c r="O14">
        <f>IF(L14&gt;0,0,15)</f>
        <v>15</v>
      </c>
      <c r="P14">
        <f>ROUND(M14+N14+O14,2)</f>
        <v>91.67</v>
      </c>
      <c r="Q14">
        <v>1</v>
      </c>
      <c r="R14">
        <v>10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1</v>
      </c>
      <c r="F16">
        <v>17</v>
      </c>
      <c r="G16">
        <v>17</v>
      </c>
      <c r="H16">
        <v>17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2</v>
      </c>
      <c r="F18">
        <v>18</v>
      </c>
      <c r="G18">
        <v>18</v>
      </c>
      <c r="H18">
        <v>18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18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3</v>
      </c>
      <c r="F22">
        <v>18</v>
      </c>
      <c r="G22">
        <v>15</v>
      </c>
      <c r="H22">
        <v>15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41.67</v>
      </c>
      <c r="N22">
        <f>ROUND(MAX(0,(100-K22)*0.35),2)</f>
        <v>35</v>
      </c>
      <c r="O22">
        <f>IF(L22&gt;0,0,15)</f>
        <v>15</v>
      </c>
      <c r="P22">
        <f>ROUND(M22+N22+O22,2)</f>
        <v>91.67</v>
      </c>
      <c r="Q22">
        <v>1</v>
      </c>
      <c r="R22">
        <v>15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48.61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98.61</v>
      </c>
    </row>
    <row r="29" spans="1:18">
      <c r="A29" t="s">
        <v>174</v>
      </c>
      <c r="B29">
        <f>SUMIF(Q11:Q22,1,R11:R22)</f>
        <v>194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56</v>
      </c>
    </row>
    <row r="3" spans="1:18">
      <c r="A3" t="s">
        <v>4</v>
      </c>
      <c r="B3" t="s">
        <v>57</v>
      </c>
    </row>
    <row r="4" spans="1:18">
      <c r="A4" t="s">
        <v>5</v>
      </c>
      <c r="B4" t="s">
        <v>24</v>
      </c>
    </row>
    <row r="5" spans="1:18">
      <c r="A5" t="s">
        <v>6</v>
      </c>
      <c r="B5" t="s">
        <v>25</v>
      </c>
    </row>
    <row r="6" spans="1:18">
      <c r="A6" t="s">
        <v>7</v>
      </c>
      <c r="B6" t="s">
        <v>58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7</v>
      </c>
      <c r="F11">
        <v>12</v>
      </c>
      <c r="G11">
        <v>12</v>
      </c>
      <c r="H11">
        <v>12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11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7</v>
      </c>
      <c r="F12">
        <v>13</v>
      </c>
      <c r="G12">
        <v>13</v>
      </c>
      <c r="H12">
        <v>13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12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4</v>
      </c>
      <c r="F13">
        <v>15</v>
      </c>
      <c r="G13">
        <v>15</v>
      </c>
      <c r="H13">
        <v>15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15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4</v>
      </c>
      <c r="F14">
        <v>12</v>
      </c>
      <c r="G14">
        <v>11</v>
      </c>
      <c r="H14">
        <v>11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45.83</v>
      </c>
      <c r="N14">
        <f>ROUND(MAX(0,(100-K14)*0.35),2)</f>
        <v>35</v>
      </c>
      <c r="O14">
        <f>IF(L14&gt;0,0,15)</f>
        <v>15</v>
      </c>
      <c r="P14">
        <f>ROUND(M14+N14+O14,2)</f>
        <v>95.83</v>
      </c>
      <c r="Q14">
        <v>1</v>
      </c>
      <c r="R14">
        <v>11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18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5</v>
      </c>
      <c r="F17">
        <v>18</v>
      </c>
      <c r="G17">
        <v>17</v>
      </c>
      <c r="H17">
        <v>17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47.22</v>
      </c>
      <c r="N17">
        <f>ROUND(MAX(0,(100-K17)*0.35),2)</f>
        <v>35</v>
      </c>
      <c r="O17">
        <f>IF(L17&gt;0,0,15)</f>
        <v>15</v>
      </c>
      <c r="P17">
        <f>ROUND(M17+N17+O17,2)</f>
        <v>97.22</v>
      </c>
      <c r="Q17">
        <v>1</v>
      </c>
      <c r="R17">
        <v>17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47.62</v>
      </c>
      <c r="N19">
        <f>ROUND(MAX(0,(100-K19)*0.35),2)</f>
        <v>35</v>
      </c>
      <c r="O19">
        <f>IF(L19&gt;0,0,15)</f>
        <v>15</v>
      </c>
      <c r="P19">
        <f>ROUND(M19+N19+O19,2)</f>
        <v>97.62</v>
      </c>
      <c r="Q19">
        <v>1</v>
      </c>
      <c r="R19">
        <v>20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1</v>
      </c>
      <c r="F21">
        <v>19</v>
      </c>
      <c r="G21">
        <v>19</v>
      </c>
      <c r="H21">
        <v>19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3</v>
      </c>
      <c r="F22">
        <v>18</v>
      </c>
      <c r="G22">
        <v>16</v>
      </c>
      <c r="H22">
        <v>16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44.44</v>
      </c>
      <c r="N22">
        <f>ROUND(MAX(0,(100-K22)*0.35),2)</f>
        <v>35</v>
      </c>
      <c r="O22">
        <f>IF(L22&gt;0,0,15)</f>
        <v>15</v>
      </c>
      <c r="P22">
        <f>ROUND(M22+N22+O22,2)</f>
        <v>94.44</v>
      </c>
      <c r="Q22">
        <v>1</v>
      </c>
      <c r="R22">
        <v>17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48.76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98.76000000000001</v>
      </c>
    </row>
    <row r="29" spans="1:18">
      <c r="A29" t="s">
        <v>174</v>
      </c>
      <c r="B29">
        <f>SUMIF(Q11:Q22,1,R11:R22)</f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59</v>
      </c>
    </row>
    <row r="3" spans="1:18">
      <c r="A3" t="s">
        <v>4</v>
      </c>
      <c r="B3" t="s">
        <v>60</v>
      </c>
    </row>
    <row r="4" spans="1:18">
      <c r="A4" t="s">
        <v>5</v>
      </c>
      <c r="B4" t="s">
        <v>61</v>
      </c>
    </row>
    <row r="5" spans="1:18">
      <c r="A5" t="s">
        <v>6</v>
      </c>
      <c r="B5" t="s">
        <v>62</v>
      </c>
    </row>
    <row r="6" spans="1:18">
      <c r="A6" t="s">
        <v>7</v>
      </c>
      <c r="B6" t="s">
        <v>31</v>
      </c>
    </row>
    <row r="7" spans="1:18">
      <c r="A7" t="s">
        <v>8</v>
      </c>
      <c r="B7" t="s">
        <v>32</v>
      </c>
    </row>
    <row r="8" spans="1:18">
      <c r="A8" t="s">
        <v>126</v>
      </c>
      <c r="B8">
        <v>9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2</v>
      </c>
      <c r="F22">
        <v>19</v>
      </c>
      <c r="G22">
        <v>18</v>
      </c>
      <c r="H22">
        <v>18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47.37</v>
      </c>
      <c r="N22">
        <f>ROUND(MAX(0,(100-K22)*0.35),2)</f>
        <v>35</v>
      </c>
      <c r="O22">
        <f>IF(L22&gt;0,0,15)</f>
        <v>15</v>
      </c>
      <c r="P22">
        <f>ROUND(M22+N22+O22,2)</f>
        <v>97.37</v>
      </c>
      <c r="Q22">
        <v>1</v>
      </c>
      <c r="R22">
        <v>19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49.34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99.34</v>
      </c>
    </row>
    <row r="29" spans="1:18">
      <c r="A29" t="s">
        <v>174</v>
      </c>
      <c r="B29">
        <f>SUMIF(Q11:Q22,1,R11:R22)</f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23.42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63</v>
      </c>
    </row>
    <row r="3" spans="1:18">
      <c r="A3" t="s">
        <v>4</v>
      </c>
      <c r="B3" t="s">
        <v>64</v>
      </c>
    </row>
    <row r="4" spans="1:18">
      <c r="A4" t="s">
        <v>5</v>
      </c>
      <c r="B4" t="s">
        <v>65</v>
      </c>
    </row>
    <row r="5" spans="1:18">
      <c r="A5" t="s">
        <v>6</v>
      </c>
    </row>
    <row r="6" spans="1:18">
      <c r="A6" t="s">
        <v>7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19</v>
      </c>
      <c r="F11">
        <v>0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1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7</v>
      </c>
      <c r="F12">
        <v>13</v>
      </c>
      <c r="G12">
        <v>12</v>
      </c>
      <c r="H12">
        <v>12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46.15</v>
      </c>
      <c r="N12">
        <f>ROUND(MAX(0,(100-K12)*0.35),2)</f>
        <v>35</v>
      </c>
      <c r="O12">
        <f>IF(L12&gt;0,0,15)</f>
        <v>15</v>
      </c>
      <c r="P12">
        <f>ROUND(M12+N12+O12,2)</f>
        <v>96.15000000000001</v>
      </c>
      <c r="Q12">
        <v>1</v>
      </c>
      <c r="R12">
        <v>11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19</v>
      </c>
      <c r="H13">
        <v>19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16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8</v>
      </c>
      <c r="F14">
        <v>8</v>
      </c>
      <c r="G14">
        <v>8</v>
      </c>
      <c r="H14">
        <v>8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7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16</v>
      </c>
      <c r="H15">
        <v>17</v>
      </c>
      <c r="I15">
        <v>0.5</v>
      </c>
      <c r="J15">
        <v>0.0</v>
      </c>
      <c r="K15">
        <f>ROUND(I15+J15,2)</f>
        <v>0.5</v>
      </c>
      <c r="L15">
        <v>0</v>
      </c>
      <c r="M15">
        <f>IF(F15=0,0,ROUND(((G15+H15)/(F15*2))*50,2))</f>
        <v>48.53</v>
      </c>
      <c r="N15">
        <f>ROUND(MAX(0,(100-K15)*0.35),2)</f>
        <v>34.82</v>
      </c>
      <c r="O15">
        <f>IF(L15&gt;0,0,15)</f>
        <v>15</v>
      </c>
      <c r="P15">
        <f>ROUND(M15+N15+O15,2)</f>
        <v>98.34999999999999</v>
      </c>
      <c r="Q15">
        <v>1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0</v>
      </c>
      <c r="H19">
        <v>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0</v>
      </c>
      <c r="N19">
        <f>ROUND(MAX(0,(100-K19)*0.35),2)</f>
        <v>35</v>
      </c>
      <c r="O19">
        <f>IF(L19&gt;0,0,15)</f>
        <v>15</v>
      </c>
      <c r="P19">
        <f>ROUND(M19+N19+O19,2)</f>
        <v>50</v>
      </c>
      <c r="Q19">
        <v>0</v>
      </c>
      <c r="R19">
        <v>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0</v>
      </c>
      <c r="H20">
        <v>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0</v>
      </c>
      <c r="N20">
        <f>ROUND(MAX(0,(100-K20)*0.35),2)</f>
        <v>35</v>
      </c>
      <c r="O20">
        <f>IF(L20&gt;0,0,15)</f>
        <v>15</v>
      </c>
      <c r="P20">
        <f>ROUND(M20+N20+O20,2)</f>
        <v>50</v>
      </c>
      <c r="Q20">
        <v>0</v>
      </c>
      <c r="R20">
        <v>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0</v>
      </c>
      <c r="H21">
        <v>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0</v>
      </c>
      <c r="N21">
        <f>ROUND(MAX(0,(100-K21)*0.35),2)</f>
        <v>35</v>
      </c>
      <c r="O21">
        <f>IF(L21&gt;0,0,15)</f>
        <v>15</v>
      </c>
      <c r="P21">
        <f>ROUND(M21+N21+O21,2)</f>
        <v>50</v>
      </c>
      <c r="Q21">
        <v>0</v>
      </c>
      <c r="R21">
        <v>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0</v>
      </c>
      <c r="H22">
        <v>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0</v>
      </c>
      <c r="N22">
        <f>ROUND(MAX(0,(100-K22)*0.35),2)</f>
        <v>35</v>
      </c>
      <c r="O22">
        <f>IF(L22&gt;0,0,15)</f>
        <v>15</v>
      </c>
      <c r="P22">
        <f>ROUND(M22+N22+O22,2)</f>
        <v>50</v>
      </c>
      <c r="Q22">
        <v>0</v>
      </c>
      <c r="R22">
        <v>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38.94</v>
      </c>
    </row>
    <row r="26" spans="1:18">
      <c r="A26" t="s">
        <v>171</v>
      </c>
      <c r="B26">
        <f>ROUND(AVERAGEIF(Q11:Q22,1,N11:N22),2)</f>
        <v>34.96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88.90000000000001</v>
      </c>
    </row>
    <row r="29" spans="1:18">
      <c r="A29" t="s">
        <v>174</v>
      </c>
      <c r="B29">
        <f>SUMIF(Q11:Q22,1,R11:R22)</f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29.421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22.28" bestFit="true" customWidth="true" style="0"/>
    <col min="14" max="14" width="16.425" bestFit="true" customWidth="true" style="0"/>
    <col min="15" max="15" width="16.425" bestFit="true" customWidth="true" style="0"/>
    <col min="16" max="16" width="22.2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66</v>
      </c>
    </row>
    <row r="3" spans="1:18">
      <c r="A3" t="s">
        <v>4</v>
      </c>
      <c r="B3" t="s">
        <v>67</v>
      </c>
    </row>
    <row r="4" spans="1:18">
      <c r="A4" t="s">
        <v>5</v>
      </c>
      <c r="B4" t="s">
        <v>50</v>
      </c>
    </row>
    <row r="5" spans="1:18">
      <c r="A5" t="s">
        <v>6</v>
      </c>
      <c r="B5" t="s">
        <v>68</v>
      </c>
    </row>
    <row r="6" spans="1:18">
      <c r="A6" t="s">
        <v>7</v>
      </c>
      <c r="B6" t="s">
        <v>51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3</v>
      </c>
      <c r="F11">
        <v>16</v>
      </c>
      <c r="G11">
        <v>14</v>
      </c>
      <c r="H11">
        <v>14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43.75</v>
      </c>
      <c r="N11">
        <f>ROUND(MAX(0,(100-K11)*0.35),2)</f>
        <v>35</v>
      </c>
      <c r="O11">
        <f>IF(L11&gt;0,0,15)</f>
        <v>15</v>
      </c>
      <c r="P11">
        <f>ROUND(M11+N11+O11,2)</f>
        <v>93.75</v>
      </c>
      <c r="Q11">
        <v>1</v>
      </c>
      <c r="R11">
        <v>13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1</v>
      </c>
      <c r="F12">
        <v>19</v>
      </c>
      <c r="G12">
        <v>17</v>
      </c>
      <c r="H12">
        <v>19</v>
      </c>
      <c r="I12">
        <v>1.0</v>
      </c>
      <c r="J12">
        <v>0.0</v>
      </c>
      <c r="K12">
        <f>ROUND(I12+J12,2)</f>
        <v>1</v>
      </c>
      <c r="L12">
        <v>0</v>
      </c>
      <c r="M12">
        <f>IF(F12=0,0,ROUND(((G12+H12)/(F12*2))*50,2))</f>
        <v>47.37</v>
      </c>
      <c r="N12">
        <f>ROUND(MAX(0,(100-K12)*0.35),2)</f>
        <v>34.65</v>
      </c>
      <c r="O12">
        <f>IF(L12&gt;0,0,15)</f>
        <v>15</v>
      </c>
      <c r="P12">
        <f>ROUND(M12+N12+O12,2)</f>
        <v>97.019999999999996</v>
      </c>
      <c r="Q12">
        <v>1</v>
      </c>
      <c r="R12">
        <v>13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2</v>
      </c>
      <c r="F13">
        <v>17</v>
      </c>
      <c r="G13">
        <v>15</v>
      </c>
      <c r="H13">
        <v>17</v>
      </c>
      <c r="I13">
        <v>1.5</v>
      </c>
      <c r="J13">
        <v>0.0</v>
      </c>
      <c r="K13">
        <f>ROUND(I13+J13,2)</f>
        <v>1.5</v>
      </c>
      <c r="L13">
        <v>0</v>
      </c>
      <c r="M13">
        <f>IF(F13=0,0,ROUND(((G13+H13)/(F13*2))*50,2))</f>
        <v>47.060000000000002</v>
      </c>
      <c r="N13">
        <f>ROUND(MAX(0,(100-K13)*0.35),2)</f>
        <v>34.47</v>
      </c>
      <c r="O13">
        <f>IF(L13&gt;0,0,15)</f>
        <v>15</v>
      </c>
      <c r="P13">
        <f>ROUND(M13+N13+O13,2)</f>
        <v>96.53</v>
      </c>
      <c r="Q13">
        <v>1</v>
      </c>
      <c r="R13">
        <v>10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4</v>
      </c>
      <c r="F14">
        <v>12</v>
      </c>
      <c r="G14">
        <v>11</v>
      </c>
      <c r="H14">
        <v>12</v>
      </c>
      <c r="I14">
        <v>0.5</v>
      </c>
      <c r="J14">
        <v>0.0</v>
      </c>
      <c r="K14">
        <f>ROUND(I14+J14,2)</f>
        <v>0.5</v>
      </c>
      <c r="L14">
        <v>0</v>
      </c>
      <c r="M14">
        <f>IF(F14=0,0,ROUND(((G14+H14)/(F14*2))*50,2))</f>
        <v>47.92</v>
      </c>
      <c r="N14">
        <f>ROUND(MAX(0,(100-K14)*0.35),2)</f>
        <v>34.82</v>
      </c>
      <c r="O14">
        <f>IF(L14&gt;0,0,15)</f>
        <v>15</v>
      </c>
      <c r="P14">
        <f>ROUND(M14+N14+O14,2)</f>
        <v>97.73999999999999</v>
      </c>
      <c r="Q14">
        <v>1</v>
      </c>
      <c r="R14">
        <v>11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4</v>
      </c>
      <c r="F15">
        <v>13</v>
      </c>
      <c r="G15">
        <v>13</v>
      </c>
      <c r="H15">
        <v>13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13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2</v>
      </c>
      <c r="F16">
        <v>16</v>
      </c>
      <c r="G16">
        <v>16</v>
      </c>
      <c r="H16">
        <v>16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16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4</v>
      </c>
      <c r="F17">
        <v>19</v>
      </c>
      <c r="G17">
        <v>19</v>
      </c>
      <c r="H17">
        <v>19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18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5</v>
      </c>
      <c r="F18">
        <v>15</v>
      </c>
      <c r="G18">
        <v>14</v>
      </c>
      <c r="H18">
        <v>15</v>
      </c>
      <c r="I18">
        <v>0.5</v>
      </c>
      <c r="J18">
        <v>0.0</v>
      </c>
      <c r="K18">
        <f>ROUND(I18+J18,2)</f>
        <v>0.5</v>
      </c>
      <c r="L18">
        <v>0</v>
      </c>
      <c r="M18">
        <f>IF(F18=0,0,ROUND(((G18+H18)/(F18*2))*50,2))</f>
        <v>48.33</v>
      </c>
      <c r="N18">
        <f>ROUND(MAX(0,(100-K18)*0.35),2)</f>
        <v>34.82</v>
      </c>
      <c r="O18">
        <f>IF(L18&gt;0,0,15)</f>
        <v>15</v>
      </c>
      <c r="P18">
        <f>ROUND(M18+N18+O18,2)</f>
        <v>98.15000000000001</v>
      </c>
      <c r="Q18">
        <v>1</v>
      </c>
      <c r="R18">
        <v>13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3</v>
      </c>
      <c r="F19">
        <v>18</v>
      </c>
      <c r="G19">
        <v>18</v>
      </c>
      <c r="H19">
        <v>18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17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2</v>
      </c>
      <c r="F20">
        <v>21</v>
      </c>
      <c r="G20">
        <v>21</v>
      </c>
      <c r="H20">
        <v>21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21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18</v>
      </c>
      <c r="H21">
        <v>18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45</v>
      </c>
      <c r="N21">
        <f>ROUND(MAX(0,(100-K21)*0.35),2)</f>
        <v>35</v>
      </c>
      <c r="O21">
        <f>IF(L21&gt;0,0,15)</f>
        <v>15</v>
      </c>
      <c r="P21">
        <f>ROUND(M21+N21+O21,2)</f>
        <v>95</v>
      </c>
      <c r="Q21">
        <v>1</v>
      </c>
      <c r="R21">
        <v>17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1</v>
      </c>
      <c r="F22">
        <v>20</v>
      </c>
      <c r="G22">
        <v>16</v>
      </c>
      <c r="H22">
        <v>17</v>
      </c>
      <c r="I22">
        <v>0.5</v>
      </c>
      <c r="J22">
        <v>0.0</v>
      </c>
      <c r="K22">
        <f>ROUND(I22+J22,2)</f>
        <v>0.5</v>
      </c>
      <c r="L22">
        <v>0</v>
      </c>
      <c r="M22">
        <f>IF(F22=0,0,ROUND(((G22+H22)/(F22*2))*50,2))</f>
        <v>41.25</v>
      </c>
      <c r="N22">
        <f>ROUND(MAX(0,(100-K22)*0.35),2)</f>
        <v>34.82</v>
      </c>
      <c r="O22">
        <f>IF(L22&gt;0,0,15)</f>
        <v>15</v>
      </c>
      <c r="P22">
        <f>ROUND(M22+N22+O22,2)</f>
        <v>91.069999999999993</v>
      </c>
      <c r="Q22">
        <v>1</v>
      </c>
      <c r="R22">
        <v>17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47.56</v>
      </c>
    </row>
    <row r="26" spans="1:18">
      <c r="A26" t="s">
        <v>171</v>
      </c>
      <c r="B26">
        <f>ROUND(AVERAGEIF(Q11:Q22,1,N11:N22),2)</f>
        <v>34.88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97.44</v>
      </c>
    </row>
    <row r="29" spans="1:18">
      <c r="A29" t="s">
        <v>174</v>
      </c>
      <c r="B29">
        <f>SUMIF(Q11:Q22,1,R11:R22)</f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69</v>
      </c>
    </row>
    <row r="3" spans="1:18">
      <c r="A3" t="s">
        <v>4</v>
      </c>
      <c r="B3" t="s">
        <v>70</v>
      </c>
    </row>
    <row r="4" spans="1:18">
      <c r="A4" t="s">
        <v>5</v>
      </c>
      <c r="B4" t="s">
        <v>71</v>
      </c>
    </row>
    <row r="5" spans="1:18">
      <c r="A5" t="s">
        <v>6</v>
      </c>
      <c r="B5" t="s">
        <v>72</v>
      </c>
    </row>
    <row r="6" spans="1:18">
      <c r="A6" t="s">
        <v>7</v>
      </c>
      <c r="B6" t="s">
        <v>73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4</v>
      </c>
      <c r="F11">
        <v>15</v>
      </c>
      <c r="G11">
        <v>15</v>
      </c>
      <c r="H11">
        <v>15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15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1</v>
      </c>
      <c r="F12">
        <v>19</v>
      </c>
      <c r="G12">
        <v>19</v>
      </c>
      <c r="H12">
        <v>19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19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19</v>
      </c>
      <c r="H13">
        <v>19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18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8</v>
      </c>
      <c r="F14">
        <v>8</v>
      </c>
      <c r="G14">
        <v>8</v>
      </c>
      <c r="H14">
        <v>8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8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18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22</v>
      </c>
      <c r="H17">
        <v>22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47.83</v>
      </c>
      <c r="N17">
        <f>ROUND(MAX(0,(100-K17)*0.35),2)</f>
        <v>35</v>
      </c>
      <c r="O17">
        <f>IF(L17&gt;0,0,15)</f>
        <v>15</v>
      </c>
      <c r="P17">
        <f>ROUND(M17+N17+O17,2)</f>
        <v>97.83</v>
      </c>
      <c r="Q17">
        <v>1</v>
      </c>
      <c r="R17">
        <v>22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19</v>
      </c>
      <c r="H18">
        <v>20</v>
      </c>
      <c r="I18">
        <v>0.5</v>
      </c>
      <c r="J18">
        <v>0.0</v>
      </c>
      <c r="K18">
        <f>ROUND(I18+J18,2)</f>
        <v>0.5</v>
      </c>
      <c r="L18">
        <v>0</v>
      </c>
      <c r="M18">
        <f>IF(F18=0,0,ROUND(((G18+H18)/(F18*2))*50,2))</f>
        <v>48.75</v>
      </c>
      <c r="N18">
        <f>ROUND(MAX(0,(100-K18)*0.35),2)</f>
        <v>34.82</v>
      </c>
      <c r="O18">
        <f>IF(L18&gt;0,0,15)</f>
        <v>15</v>
      </c>
      <c r="P18">
        <f>ROUND(M18+N18+O18,2)</f>
        <v>98.56999999999999</v>
      </c>
      <c r="Q18">
        <v>1</v>
      </c>
      <c r="R18">
        <v>19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6</v>
      </c>
      <c r="F21">
        <v>14</v>
      </c>
      <c r="G21">
        <v>14</v>
      </c>
      <c r="H21">
        <v>14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14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20</v>
      </c>
      <c r="H22">
        <v>20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47.62</v>
      </c>
      <c r="N22">
        <f>ROUND(MAX(0,(100-K22)*0.35),2)</f>
        <v>35</v>
      </c>
      <c r="O22">
        <f>IF(L22&gt;0,0,15)</f>
        <v>15</v>
      </c>
      <c r="P22">
        <f>ROUND(M22+N22+O22,2)</f>
        <v>97.62</v>
      </c>
      <c r="Q22">
        <v>1</v>
      </c>
      <c r="R22">
        <v>21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49.52</v>
      </c>
    </row>
    <row r="26" spans="1:18">
      <c r="A26" t="s">
        <v>171</v>
      </c>
      <c r="B26">
        <f>ROUND(AVERAGEIF(Q11:Q22,1,N11:N22),2)</f>
        <v>34.99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99.5</v>
      </c>
    </row>
    <row r="29" spans="1:18">
      <c r="A29" t="s">
        <v>174</v>
      </c>
      <c r="B29">
        <f>SUMIF(Q11:Q22,1,R11:R22)</f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5.277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74</v>
      </c>
    </row>
    <row r="3" spans="1:18">
      <c r="A3" t="s">
        <v>4</v>
      </c>
      <c r="B3" t="s">
        <v>75</v>
      </c>
    </row>
    <row r="4" spans="1:18">
      <c r="A4" t="s">
        <v>5</v>
      </c>
      <c r="B4" t="s">
        <v>76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78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3</v>
      </c>
      <c r="F11">
        <v>16</v>
      </c>
      <c r="G11">
        <v>16</v>
      </c>
      <c r="H11">
        <v>16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16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20</v>
      </c>
      <c r="H12">
        <v>20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20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1</v>
      </c>
      <c r="F13">
        <v>18</v>
      </c>
      <c r="G13">
        <v>18</v>
      </c>
      <c r="H13">
        <v>18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18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16</v>
      </c>
      <c r="H14">
        <v>16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16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11</v>
      </c>
      <c r="F15">
        <v>6</v>
      </c>
      <c r="G15">
        <v>6</v>
      </c>
      <c r="H15">
        <v>6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6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2</v>
      </c>
      <c r="F16">
        <v>16</v>
      </c>
      <c r="G16">
        <v>16</v>
      </c>
      <c r="H16">
        <v>15</v>
      </c>
      <c r="I16">
        <v>0.0</v>
      </c>
      <c r="J16">
        <v>1.5</v>
      </c>
      <c r="K16">
        <f>ROUND(I16+J16,2)</f>
        <v>1.5</v>
      </c>
      <c r="L16">
        <v>0</v>
      </c>
      <c r="M16">
        <f>IF(F16=0,0,ROUND(((G16+H16)/(F16*2))*50,2))</f>
        <v>48.44</v>
      </c>
      <c r="N16">
        <f>ROUND(MAX(0,(100-K16)*0.35),2)</f>
        <v>34.47</v>
      </c>
      <c r="O16">
        <f>IF(L16&gt;0,0,15)</f>
        <v>15</v>
      </c>
      <c r="P16">
        <f>ROUND(M16+N16+O16,2)</f>
        <v>97.91</v>
      </c>
      <c r="Q16">
        <v>1</v>
      </c>
      <c r="R16">
        <v>16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1</v>
      </c>
      <c r="F17">
        <v>22</v>
      </c>
      <c r="G17">
        <v>22</v>
      </c>
      <c r="H17">
        <v>22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22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1</v>
      </c>
      <c r="F18">
        <v>19</v>
      </c>
      <c r="G18">
        <v>19</v>
      </c>
      <c r="H18">
        <v>19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6</v>
      </c>
      <c r="F19">
        <v>15</v>
      </c>
      <c r="G19">
        <v>15</v>
      </c>
      <c r="H19">
        <v>15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15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3</v>
      </c>
      <c r="F20">
        <v>20</v>
      </c>
      <c r="G20">
        <v>20</v>
      </c>
      <c r="H20">
        <v>20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19</v>
      </c>
      <c r="H21">
        <v>20</v>
      </c>
      <c r="I21">
        <v>1.5</v>
      </c>
      <c r="J21">
        <v>0.0</v>
      </c>
      <c r="K21">
        <f>ROUND(I21+J21,2)</f>
        <v>1.5</v>
      </c>
      <c r="L21">
        <v>0</v>
      </c>
      <c r="M21">
        <f>IF(F21=0,0,ROUND(((G21+H21)/(F21*2))*50,2))</f>
        <v>48.75</v>
      </c>
      <c r="N21">
        <f>ROUND(MAX(0,(100-K21)*0.35),2)</f>
        <v>34.47</v>
      </c>
      <c r="O21">
        <f>IF(L21&gt;0,0,15)</f>
        <v>15</v>
      </c>
      <c r="P21">
        <f>ROUND(M21+N21+O21,2)</f>
        <v>98.22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18</v>
      </c>
      <c r="H22">
        <v>18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42.86</v>
      </c>
      <c r="N22">
        <f>ROUND(MAX(0,(100-K22)*0.35),2)</f>
        <v>35</v>
      </c>
      <c r="O22">
        <f>IF(L22&gt;0,0,15)</f>
        <v>15</v>
      </c>
      <c r="P22">
        <f>ROUND(M22+N22+O22,2)</f>
        <v>92.86</v>
      </c>
      <c r="Q22">
        <v>1</v>
      </c>
      <c r="R22">
        <v>19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49.17</v>
      </c>
    </row>
    <row r="26" spans="1:18">
      <c r="A26" t="s">
        <v>171</v>
      </c>
      <c r="B26">
        <f>ROUND(AVERAGEIF(Q11:Q22,1,N11:N22),2)</f>
        <v>34.91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99.079999999999998</v>
      </c>
    </row>
    <row r="29" spans="1:18">
      <c r="A29" t="s">
        <v>174</v>
      </c>
      <c r="B29">
        <f>SUMIF(Q11:Q22,1,R11:R22)</f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79</v>
      </c>
    </row>
    <row r="3" spans="1:18">
      <c r="A3" t="s">
        <v>4</v>
      </c>
      <c r="B3" t="s">
        <v>80</v>
      </c>
    </row>
    <row r="4" spans="1:18">
      <c r="A4" t="s">
        <v>5</v>
      </c>
      <c r="B4" t="s">
        <v>71</v>
      </c>
    </row>
    <row r="5" spans="1:18">
      <c r="A5" t="s">
        <v>6</v>
      </c>
      <c r="B5" t="s">
        <v>81</v>
      </c>
    </row>
    <row r="6" spans="1:18">
      <c r="A6" t="s">
        <v>7</v>
      </c>
      <c r="B6" t="s">
        <v>73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19</v>
      </c>
      <c r="H11">
        <v>19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19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3</v>
      </c>
      <c r="F12">
        <v>17</v>
      </c>
      <c r="G12">
        <v>17</v>
      </c>
      <c r="H12">
        <v>17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17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3</v>
      </c>
      <c r="F13">
        <v>16</v>
      </c>
      <c r="G13">
        <v>16</v>
      </c>
      <c r="H13">
        <v>16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16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2</v>
      </c>
      <c r="F14">
        <v>14</v>
      </c>
      <c r="G14">
        <v>14</v>
      </c>
      <c r="H14">
        <v>14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14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18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3</v>
      </c>
      <c r="F17">
        <v>20</v>
      </c>
      <c r="G17">
        <v>20</v>
      </c>
      <c r="H17">
        <v>20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1</v>
      </c>
      <c r="F18">
        <v>19</v>
      </c>
      <c r="G18">
        <v>19</v>
      </c>
      <c r="H18">
        <v>19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5</v>
      </c>
      <c r="F19">
        <v>16</v>
      </c>
      <c r="G19">
        <v>16</v>
      </c>
      <c r="H19">
        <v>16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16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22</v>
      </c>
      <c r="F20">
        <v>1</v>
      </c>
      <c r="G20">
        <v>1</v>
      </c>
      <c r="H20">
        <v>1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1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20</v>
      </c>
      <c r="F21">
        <v>0</v>
      </c>
      <c r="G21">
        <v>0</v>
      </c>
      <c r="H21">
        <v>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0</v>
      </c>
      <c r="N21">
        <f>ROUND(MAX(0,(100-K21)*0.35),2)</f>
        <v>35</v>
      </c>
      <c r="O21">
        <f>IF(L21&gt;0,0,15)</f>
        <v>15</v>
      </c>
      <c r="P21">
        <f>ROUND(M21+N21+O21,2)</f>
        <v>50</v>
      </c>
      <c r="Q21">
        <v>1</v>
      </c>
      <c r="R21">
        <v>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21</v>
      </c>
      <c r="F22">
        <v>0</v>
      </c>
      <c r="G22">
        <v>0</v>
      </c>
      <c r="H22">
        <v>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0</v>
      </c>
      <c r="N22">
        <f>ROUND(MAX(0,(100-K22)*0.35),2)</f>
        <v>35</v>
      </c>
      <c r="O22">
        <f>IF(L22&gt;0,0,15)</f>
        <v>15</v>
      </c>
      <c r="P22">
        <f>ROUND(M22+N22+O22,2)</f>
        <v>50</v>
      </c>
      <c r="Q22">
        <v>1</v>
      </c>
      <c r="R22">
        <v>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41.67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91.67</v>
      </c>
    </row>
    <row r="29" spans="1:18">
      <c r="A29" t="s">
        <v>174</v>
      </c>
      <c r="B29">
        <f>SUMIF(Q11:Q22,1,R11:R22)</f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0.564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82</v>
      </c>
    </row>
    <row r="3" spans="1:18">
      <c r="A3" t="s">
        <v>4</v>
      </c>
      <c r="B3" t="s">
        <v>83</v>
      </c>
    </row>
    <row r="4" spans="1:18">
      <c r="A4" t="s">
        <v>5</v>
      </c>
      <c r="B4" t="s">
        <v>84</v>
      </c>
    </row>
    <row r="5" spans="1:18">
      <c r="A5" t="s">
        <v>6</v>
      </c>
      <c r="B5" t="s">
        <v>81</v>
      </c>
    </row>
    <row r="6" spans="1:18">
      <c r="A6" t="s">
        <v>7</v>
      </c>
      <c r="B6" t="s">
        <v>85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1</v>
      </c>
      <c r="F11">
        <v>18</v>
      </c>
      <c r="G11">
        <v>17</v>
      </c>
      <c r="H11">
        <v>18</v>
      </c>
      <c r="I11">
        <v>0.5</v>
      </c>
      <c r="J11">
        <v>0.0</v>
      </c>
      <c r="K11">
        <f>ROUND(I11+J11,2)</f>
        <v>0.5</v>
      </c>
      <c r="L11">
        <v>0</v>
      </c>
      <c r="M11">
        <f>IF(F11=0,0,ROUND(((G11+H11)/(F11*2))*50,2))</f>
        <v>48.61</v>
      </c>
      <c r="N11">
        <f>ROUND(MAX(0,(100-K11)*0.35),2)</f>
        <v>34.82</v>
      </c>
      <c r="O11">
        <f>IF(L11&gt;0,0,15)</f>
        <v>15</v>
      </c>
      <c r="P11">
        <f>ROUND(M11+N11+O11,2)</f>
        <v>98.43000000000001</v>
      </c>
      <c r="Q11">
        <v>1</v>
      </c>
      <c r="R11">
        <v>17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3</v>
      </c>
      <c r="F12">
        <v>17</v>
      </c>
      <c r="G12">
        <v>17</v>
      </c>
      <c r="H12">
        <v>17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17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19</v>
      </c>
      <c r="H13">
        <v>19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19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1</v>
      </c>
      <c r="F14">
        <v>15</v>
      </c>
      <c r="G14">
        <v>15</v>
      </c>
      <c r="H14">
        <v>15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15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17</v>
      </c>
      <c r="H15">
        <v>17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17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1</v>
      </c>
      <c r="F16">
        <v>17</v>
      </c>
      <c r="G16">
        <v>17</v>
      </c>
      <c r="H16">
        <v>17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2</v>
      </c>
      <c r="F17">
        <v>21</v>
      </c>
      <c r="G17">
        <v>21</v>
      </c>
      <c r="H17">
        <v>21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21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2</v>
      </c>
      <c r="F18">
        <v>18</v>
      </c>
      <c r="G18">
        <v>18</v>
      </c>
      <c r="H18">
        <v>18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18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3</v>
      </c>
      <c r="F20">
        <v>20</v>
      </c>
      <c r="G20">
        <v>20</v>
      </c>
      <c r="H20">
        <v>20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3</v>
      </c>
      <c r="F21">
        <v>17</v>
      </c>
      <c r="G21">
        <v>17</v>
      </c>
      <c r="H21">
        <v>17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17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20</v>
      </c>
      <c r="H22">
        <v>20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47.62</v>
      </c>
      <c r="N22">
        <f>ROUND(MAX(0,(100-K22)*0.35),2)</f>
        <v>35</v>
      </c>
      <c r="O22">
        <f>IF(L22&gt;0,0,15)</f>
        <v>15</v>
      </c>
      <c r="P22">
        <f>ROUND(M22+N22+O22,2)</f>
        <v>97.62</v>
      </c>
      <c r="Q22">
        <v>1</v>
      </c>
      <c r="R22">
        <v>20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49.69</v>
      </c>
    </row>
    <row r="26" spans="1:18">
      <c r="A26" t="s">
        <v>171</v>
      </c>
      <c r="B26">
        <f>ROUND(AVERAGEIF(Q11:Q22,1,N11:N22),2)</f>
        <v>34.99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99.67</v>
      </c>
    </row>
    <row r="29" spans="1:18">
      <c r="A29" t="s">
        <v>174</v>
      </c>
      <c r="B29">
        <f>SUMIF(Q11:Q22,1,R11:R22)</f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86</v>
      </c>
    </row>
    <row r="3" spans="1:18">
      <c r="A3" t="s">
        <v>4</v>
      </c>
      <c r="B3" t="s">
        <v>87</v>
      </c>
    </row>
    <row r="4" spans="1:18">
      <c r="A4" t="s">
        <v>5</v>
      </c>
      <c r="B4" t="s">
        <v>61</v>
      </c>
    </row>
    <row r="5" spans="1:18">
      <c r="A5" t="s">
        <v>6</v>
      </c>
      <c r="B5" t="s">
        <v>62</v>
      </c>
    </row>
    <row r="6" spans="1:18">
      <c r="A6" t="s">
        <v>7</v>
      </c>
      <c r="B6" t="s">
        <v>31</v>
      </c>
    </row>
    <row r="7" spans="1:18">
      <c r="A7" t="s">
        <v>8</v>
      </c>
      <c r="B7" t="s">
        <v>32</v>
      </c>
    </row>
    <row r="8" spans="1:18">
      <c r="A8" t="s">
        <v>126</v>
      </c>
      <c r="B8">
        <v>9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2</v>
      </c>
      <c r="F19">
        <v>19</v>
      </c>
      <c r="G19">
        <v>19</v>
      </c>
      <c r="H19">
        <v>19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19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20</v>
      </c>
      <c r="H22">
        <v>20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47.62</v>
      </c>
      <c r="N22">
        <f>ROUND(MAX(0,(100-K22)*0.35),2)</f>
        <v>35</v>
      </c>
      <c r="O22">
        <f>IF(L22&gt;0,0,15)</f>
        <v>15</v>
      </c>
      <c r="P22">
        <f>ROUND(M22+N22+O22,2)</f>
        <v>97.62</v>
      </c>
      <c r="Q22">
        <v>1</v>
      </c>
      <c r="R22">
        <v>21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49.41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99.41</v>
      </c>
    </row>
    <row r="29" spans="1:18">
      <c r="A29" t="s">
        <v>174</v>
      </c>
      <c r="B29">
        <f>SUMIF(Q11:Q22,1,R11:R22)</f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1.13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22.28" bestFit="true" customWidth="true" style="0"/>
    <col min="14" max="14" width="16.425" bestFit="true" customWidth="true" style="0"/>
    <col min="15" max="15" width="16.425" bestFit="true" customWidth="true" style="0"/>
    <col min="16" max="16" width="22.2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88</v>
      </c>
    </row>
    <row r="3" spans="1:18">
      <c r="A3" t="s">
        <v>4</v>
      </c>
      <c r="B3" t="s">
        <v>89</v>
      </c>
    </row>
    <row r="4" spans="1:18">
      <c r="A4" t="s">
        <v>5</v>
      </c>
      <c r="B4" t="s">
        <v>90</v>
      </c>
    </row>
    <row r="5" spans="1:18">
      <c r="A5" t="s">
        <v>6</v>
      </c>
      <c r="B5" t="s">
        <v>91</v>
      </c>
    </row>
    <row r="6" spans="1:18">
      <c r="A6" t="s">
        <v>7</v>
      </c>
      <c r="B6" t="s">
        <v>92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6</v>
      </c>
      <c r="F11">
        <v>13</v>
      </c>
      <c r="G11">
        <v>13</v>
      </c>
      <c r="H11">
        <v>13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13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3</v>
      </c>
      <c r="F12">
        <v>17</v>
      </c>
      <c r="G12">
        <v>12</v>
      </c>
      <c r="H12">
        <v>12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35.29</v>
      </c>
      <c r="N12">
        <f>ROUND(MAX(0,(100-K12)*0.35),2)</f>
        <v>35</v>
      </c>
      <c r="O12">
        <f>IF(L12&gt;0,0,15)</f>
        <v>15</v>
      </c>
      <c r="P12">
        <f>ROUND(M12+N12+O12,2)</f>
        <v>85.29000000000001</v>
      </c>
      <c r="Q12">
        <v>1</v>
      </c>
      <c r="R12">
        <v>12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2</v>
      </c>
      <c r="F13">
        <v>17</v>
      </c>
      <c r="G13">
        <v>17</v>
      </c>
      <c r="H13">
        <v>17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16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16</v>
      </c>
      <c r="H14">
        <v>16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16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1</v>
      </c>
      <c r="F15">
        <v>16</v>
      </c>
      <c r="G15">
        <v>16</v>
      </c>
      <c r="H15">
        <v>16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16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1</v>
      </c>
      <c r="F16">
        <v>17</v>
      </c>
      <c r="G16">
        <v>17</v>
      </c>
      <c r="H16">
        <v>17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4</v>
      </c>
      <c r="F17">
        <v>19</v>
      </c>
      <c r="G17">
        <v>18</v>
      </c>
      <c r="H17">
        <v>18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47.37</v>
      </c>
      <c r="N17">
        <f>ROUND(MAX(0,(100-K17)*0.35),2)</f>
        <v>35</v>
      </c>
      <c r="O17">
        <f>IF(L17&gt;0,0,15)</f>
        <v>15</v>
      </c>
      <c r="P17">
        <f>ROUND(M17+N17+O17,2)</f>
        <v>97.37</v>
      </c>
      <c r="Q17">
        <v>1</v>
      </c>
      <c r="R17">
        <v>18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1</v>
      </c>
      <c r="F18">
        <v>19</v>
      </c>
      <c r="G18">
        <v>19</v>
      </c>
      <c r="H18">
        <v>19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19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2</v>
      </c>
      <c r="F19">
        <v>19</v>
      </c>
      <c r="G19">
        <v>18</v>
      </c>
      <c r="H19">
        <v>18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47.37</v>
      </c>
      <c r="N19">
        <f>ROUND(MAX(0,(100-K19)*0.35),2)</f>
        <v>35</v>
      </c>
      <c r="O19">
        <f>IF(L19&gt;0,0,15)</f>
        <v>15</v>
      </c>
      <c r="P19">
        <f>ROUND(M19+N19+O19,2)</f>
        <v>97.37</v>
      </c>
      <c r="Q19">
        <v>1</v>
      </c>
      <c r="R19">
        <v>18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3</v>
      </c>
      <c r="F20">
        <v>20</v>
      </c>
      <c r="G20">
        <v>20</v>
      </c>
      <c r="H20">
        <v>20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4</v>
      </c>
      <c r="F22">
        <v>17</v>
      </c>
      <c r="G22">
        <v>16</v>
      </c>
      <c r="H22">
        <v>16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47.060000000000002</v>
      </c>
      <c r="N22">
        <f>ROUND(MAX(0,(100-K22)*0.35),2)</f>
        <v>35</v>
      </c>
      <c r="O22">
        <f>IF(L22&gt;0,0,15)</f>
        <v>15</v>
      </c>
      <c r="P22">
        <f>ROUND(M22+N22+O22,2)</f>
        <v>97.060000000000002</v>
      </c>
      <c r="Q22">
        <v>1</v>
      </c>
      <c r="R22">
        <v>16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48.090000000000003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98.090000000000003</v>
      </c>
    </row>
    <row r="29" spans="1:18">
      <c r="A29" t="s">
        <v>174</v>
      </c>
      <c r="B29">
        <f>SUMIF(Q11:Q22,1,R11:R22)</f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2.992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93</v>
      </c>
    </row>
    <row r="3" spans="1:18">
      <c r="A3" t="s">
        <v>4</v>
      </c>
      <c r="B3" t="s">
        <v>94</v>
      </c>
    </row>
    <row r="4" spans="1:18">
      <c r="A4" t="s">
        <v>5</v>
      </c>
      <c r="B4" t="s">
        <v>95</v>
      </c>
    </row>
    <row r="5" spans="1:18">
      <c r="A5" t="s">
        <v>6</v>
      </c>
      <c r="B5" t="s">
        <v>72</v>
      </c>
    </row>
    <row r="6" spans="1:18">
      <c r="A6" t="s">
        <v>7</v>
      </c>
      <c r="B6" t="s">
        <v>96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1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5</v>
      </c>
      <c r="H16">
        <v>5</v>
      </c>
      <c r="I16">
        <v>0.0</v>
      </c>
      <c r="J16">
        <v>0.0</v>
      </c>
      <c r="K16">
        <f>ROUND(I16+J16,2)</f>
        <v>0</v>
      </c>
      <c r="L16">
        <v>13</v>
      </c>
      <c r="M16">
        <f>IF(F16=0,0,ROUND(((G16+H16)/(F16*2))*50,2))</f>
        <v>13.89</v>
      </c>
      <c r="N16">
        <f>ROUND(MAX(0,(100-K16)*0.35),2)</f>
        <v>35</v>
      </c>
      <c r="O16">
        <f>IF(L16&gt;0,0,15)</f>
        <v>0</v>
      </c>
      <c r="P16">
        <f>ROUND(M16+N16+O16,2)</f>
        <v>48.89</v>
      </c>
      <c r="Q16">
        <v>1</v>
      </c>
      <c r="R16">
        <v>5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21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18</v>
      </c>
      <c r="H22">
        <v>18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42.86</v>
      </c>
      <c r="N22">
        <f>ROUND(MAX(0,(100-K22)*0.35),2)</f>
        <v>35</v>
      </c>
      <c r="O22">
        <f>IF(L22&gt;0,0,15)</f>
        <v>15</v>
      </c>
      <c r="P22">
        <f>ROUND(M22+N22+O22,2)</f>
        <v>92.86</v>
      </c>
      <c r="Q22">
        <v>1</v>
      </c>
      <c r="R22">
        <v>21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38.34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13.13</v>
      </c>
    </row>
    <row r="28" spans="1:18">
      <c r="A28" t="s">
        <v>173</v>
      </c>
      <c r="B28">
        <f>ROUND(AVERAGEIF(Q11:Q22,1,P11:P22),2)</f>
        <v>86.47</v>
      </c>
    </row>
    <row r="29" spans="1:18">
      <c r="A29" t="s">
        <v>174</v>
      </c>
      <c r="B29">
        <f>SUMIF(Q11:Q22,1,R11:R22)</f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22.28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97</v>
      </c>
    </row>
    <row r="3" spans="1:18">
      <c r="A3" t="s">
        <v>4</v>
      </c>
      <c r="B3" t="s">
        <v>98</v>
      </c>
    </row>
    <row r="4" spans="1:18">
      <c r="A4" t="s">
        <v>5</v>
      </c>
      <c r="B4" t="s">
        <v>61</v>
      </c>
    </row>
    <row r="5" spans="1:18">
      <c r="A5" t="s">
        <v>6</v>
      </c>
      <c r="B5" t="s">
        <v>62</v>
      </c>
    </row>
    <row r="6" spans="1:18">
      <c r="A6" t="s">
        <v>7</v>
      </c>
      <c r="B6" t="s">
        <v>31</v>
      </c>
    </row>
    <row r="7" spans="1:18">
      <c r="A7" t="s">
        <v>8</v>
      </c>
      <c r="B7" t="s">
        <v>32</v>
      </c>
    </row>
    <row r="8" spans="1:18">
      <c r="A8" t="s">
        <v>126</v>
      </c>
      <c r="B8">
        <v>9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4</v>
      </c>
      <c r="F21">
        <v>16</v>
      </c>
      <c r="G21">
        <v>12</v>
      </c>
      <c r="H21">
        <v>13</v>
      </c>
      <c r="I21">
        <v>0.5</v>
      </c>
      <c r="J21">
        <v>0.0</v>
      </c>
      <c r="K21">
        <f>ROUND(I21+J21,2)</f>
        <v>0.5</v>
      </c>
      <c r="L21">
        <v>0</v>
      </c>
      <c r="M21">
        <f>IF(F21=0,0,ROUND(((G21+H21)/(F21*2))*50,2))</f>
        <v>39.060000000000002</v>
      </c>
      <c r="N21">
        <f>ROUND(MAX(0,(100-K21)*0.35),2)</f>
        <v>34.82</v>
      </c>
      <c r="O21">
        <f>IF(L21&gt;0,0,15)</f>
        <v>15</v>
      </c>
      <c r="P21">
        <f>ROUND(M21+N21+O21,2)</f>
        <v>88.88</v>
      </c>
      <c r="Q21">
        <v>1</v>
      </c>
      <c r="R21">
        <v>13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3</v>
      </c>
      <c r="F22">
        <v>18</v>
      </c>
      <c r="G22">
        <v>15</v>
      </c>
      <c r="H22">
        <v>15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41.67</v>
      </c>
      <c r="N22">
        <f>ROUND(MAX(0,(100-K22)*0.35),2)</f>
        <v>35</v>
      </c>
      <c r="O22">
        <f>IF(L22&gt;0,0,15)</f>
        <v>15</v>
      </c>
      <c r="P22">
        <f>ROUND(M22+N22+O22,2)</f>
        <v>91.67</v>
      </c>
      <c r="Q22">
        <v>1</v>
      </c>
      <c r="R22">
        <v>18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45.18</v>
      </c>
    </row>
    <row r="26" spans="1:18">
      <c r="A26" t="s">
        <v>171</v>
      </c>
      <c r="B26">
        <f>ROUND(AVERAGEIF(Q11:Q22,1,N11:N22),2)</f>
        <v>34.96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95.14</v>
      </c>
    </row>
    <row r="29" spans="1:18">
      <c r="A29" t="s">
        <v>174</v>
      </c>
      <c r="B29">
        <f>SUMIF(Q11:Q22,1,R11:R22)</f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9.99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2.2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99</v>
      </c>
    </row>
    <row r="3" spans="1:18">
      <c r="A3" t="s">
        <v>4</v>
      </c>
      <c r="B3" t="s">
        <v>100</v>
      </c>
    </row>
    <row r="4" spans="1:18">
      <c r="A4" t="s">
        <v>5</v>
      </c>
      <c r="B4" t="s">
        <v>101</v>
      </c>
    </row>
    <row r="5" spans="1:18">
      <c r="A5" t="s">
        <v>6</v>
      </c>
      <c r="B5" t="s">
        <v>91</v>
      </c>
    </row>
    <row r="6" spans="1:18">
      <c r="A6" t="s">
        <v>7</v>
      </c>
      <c r="B6" t="s">
        <v>73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2</v>
      </c>
      <c r="F11">
        <v>17</v>
      </c>
      <c r="G11">
        <v>16</v>
      </c>
      <c r="H11">
        <v>17</v>
      </c>
      <c r="I11">
        <v>0.5</v>
      </c>
      <c r="J11">
        <v>0.0</v>
      </c>
      <c r="K11">
        <f>ROUND(I11+J11,2)</f>
        <v>0.5</v>
      </c>
      <c r="L11">
        <v>0</v>
      </c>
      <c r="M11">
        <f>IF(F11=0,0,ROUND(((G11+H11)/(F11*2))*50,2))</f>
        <v>48.53</v>
      </c>
      <c r="N11">
        <f>ROUND(MAX(0,(100-K11)*0.35),2)</f>
        <v>34.82</v>
      </c>
      <c r="O11">
        <f>IF(L11&gt;0,0,15)</f>
        <v>15</v>
      </c>
      <c r="P11">
        <f>ROUND(M11+N11+O11,2)</f>
        <v>98.34999999999999</v>
      </c>
      <c r="Q11">
        <v>1</v>
      </c>
      <c r="R11">
        <v>13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2</v>
      </c>
      <c r="F12">
        <v>18</v>
      </c>
      <c r="G12">
        <v>16</v>
      </c>
      <c r="H12">
        <v>18</v>
      </c>
      <c r="I12">
        <v>1.0</v>
      </c>
      <c r="J12">
        <v>0.0</v>
      </c>
      <c r="K12">
        <f>ROUND(I12+J12,2)</f>
        <v>1</v>
      </c>
      <c r="L12">
        <v>0</v>
      </c>
      <c r="M12">
        <f>IF(F12=0,0,ROUND(((G12+H12)/(F12*2))*50,2))</f>
        <v>47.22</v>
      </c>
      <c r="N12">
        <f>ROUND(MAX(0,(100-K12)*0.35),2)</f>
        <v>34.65</v>
      </c>
      <c r="O12">
        <f>IF(L12&gt;0,0,15)</f>
        <v>15</v>
      </c>
      <c r="P12">
        <f>ROUND(M12+N12+O12,2)</f>
        <v>96.87</v>
      </c>
      <c r="Q12">
        <v>1</v>
      </c>
      <c r="R12">
        <v>16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1</v>
      </c>
      <c r="F13">
        <v>18</v>
      </c>
      <c r="G13">
        <v>16</v>
      </c>
      <c r="H13">
        <v>18</v>
      </c>
      <c r="I13">
        <v>1.0</v>
      </c>
      <c r="J13">
        <v>0.0</v>
      </c>
      <c r="K13">
        <f>ROUND(I13+J13,2)</f>
        <v>1</v>
      </c>
      <c r="L13">
        <v>0</v>
      </c>
      <c r="M13">
        <f>IF(F13=0,0,ROUND(((G13+H13)/(F13*2))*50,2))</f>
        <v>47.22</v>
      </c>
      <c r="N13">
        <f>ROUND(MAX(0,(100-K13)*0.35),2)</f>
        <v>34.65</v>
      </c>
      <c r="O13">
        <f>IF(L13&gt;0,0,15)</f>
        <v>15</v>
      </c>
      <c r="P13">
        <f>ROUND(M13+N13+O13,2)</f>
        <v>96.87</v>
      </c>
      <c r="Q13">
        <v>1</v>
      </c>
      <c r="R13">
        <v>11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7</v>
      </c>
      <c r="F14">
        <v>9</v>
      </c>
      <c r="G14">
        <v>9</v>
      </c>
      <c r="H14">
        <v>9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9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1</v>
      </c>
      <c r="F15">
        <v>16</v>
      </c>
      <c r="G15">
        <v>13</v>
      </c>
      <c r="H15">
        <v>16</v>
      </c>
      <c r="I15">
        <v>1.5</v>
      </c>
      <c r="J15">
        <v>0.0</v>
      </c>
      <c r="K15">
        <f>ROUND(I15+J15,2)</f>
        <v>1.5</v>
      </c>
      <c r="L15">
        <v>0</v>
      </c>
      <c r="M15">
        <f>IF(F15=0,0,ROUND(((G15+H15)/(F15*2))*50,2))</f>
        <v>45.31</v>
      </c>
      <c r="N15">
        <f>ROUND(MAX(0,(100-K15)*0.35),2)</f>
        <v>34.47</v>
      </c>
      <c r="O15">
        <f>IF(L15&gt;0,0,15)</f>
        <v>15</v>
      </c>
      <c r="P15">
        <f>ROUND(M15+N15+O15,2)</f>
        <v>94.78</v>
      </c>
      <c r="Q15">
        <v>1</v>
      </c>
      <c r="R15">
        <v>12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7</v>
      </c>
      <c r="F16">
        <v>11</v>
      </c>
      <c r="G16">
        <v>10</v>
      </c>
      <c r="H16">
        <v>11</v>
      </c>
      <c r="I16">
        <v>0.5</v>
      </c>
      <c r="J16">
        <v>0.0</v>
      </c>
      <c r="K16">
        <f>ROUND(I16+J16,2)</f>
        <v>0.5</v>
      </c>
      <c r="L16">
        <v>0</v>
      </c>
      <c r="M16">
        <f>IF(F16=0,0,ROUND(((G16+H16)/(F16*2))*50,2))</f>
        <v>47.73</v>
      </c>
      <c r="N16">
        <f>ROUND(MAX(0,(100-K16)*0.35),2)</f>
        <v>34.82</v>
      </c>
      <c r="O16">
        <f>IF(L16&gt;0,0,15)</f>
        <v>15</v>
      </c>
      <c r="P16">
        <f>ROUND(M16+N16+O16,2)</f>
        <v>97.55</v>
      </c>
      <c r="Q16">
        <v>1</v>
      </c>
      <c r="R16">
        <v>10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1</v>
      </c>
      <c r="F17">
        <v>22</v>
      </c>
      <c r="G17">
        <v>19</v>
      </c>
      <c r="H17">
        <v>21</v>
      </c>
      <c r="I17">
        <v>1.0</v>
      </c>
      <c r="J17">
        <v>0.0</v>
      </c>
      <c r="K17">
        <f>ROUND(I17+J17,2)</f>
        <v>1</v>
      </c>
      <c r="L17">
        <v>0</v>
      </c>
      <c r="M17">
        <f>IF(F17=0,0,ROUND(((G17+H17)/(F17*2))*50,2))</f>
        <v>45.45</v>
      </c>
      <c r="N17">
        <f>ROUND(MAX(0,(100-K17)*0.35),2)</f>
        <v>34.65</v>
      </c>
      <c r="O17">
        <f>IF(L17&gt;0,0,15)</f>
        <v>15</v>
      </c>
      <c r="P17">
        <f>ROUND(M17+N17+O17,2)</f>
        <v>95.099999999999994</v>
      </c>
      <c r="Q17">
        <v>1</v>
      </c>
      <c r="R17">
        <v>19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1</v>
      </c>
      <c r="F18">
        <v>19</v>
      </c>
      <c r="G18">
        <v>17</v>
      </c>
      <c r="H18">
        <v>16</v>
      </c>
      <c r="I18">
        <v>1.0</v>
      </c>
      <c r="J18">
        <v>4.5</v>
      </c>
      <c r="K18">
        <f>ROUND(I18+J18,2)</f>
        <v>5.5</v>
      </c>
      <c r="L18">
        <v>0</v>
      </c>
      <c r="M18">
        <f>IF(F18=0,0,ROUND(((G18+H18)/(F18*2))*50,2))</f>
        <v>43.42</v>
      </c>
      <c r="N18">
        <f>ROUND(MAX(0,(100-K18)*0.35),2)</f>
        <v>33.07</v>
      </c>
      <c r="O18">
        <f>IF(L18&gt;0,0,15)</f>
        <v>15</v>
      </c>
      <c r="P18">
        <f>ROUND(M18+N18+O18,2)</f>
        <v>91.48999999999999</v>
      </c>
      <c r="Q18">
        <v>1</v>
      </c>
      <c r="R18">
        <v>17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</v>
      </c>
      <c r="F19">
        <v>20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21</v>
      </c>
      <c r="H20">
        <v>22</v>
      </c>
      <c r="I20">
        <v>1.0</v>
      </c>
      <c r="J20">
        <v>1.5</v>
      </c>
      <c r="K20">
        <f>ROUND(I20+J20,2)</f>
        <v>2.5</v>
      </c>
      <c r="L20">
        <v>0</v>
      </c>
      <c r="M20">
        <f>IF(F20=0,0,ROUND(((G20+H20)/(F20*2))*50,2))</f>
        <v>46.74</v>
      </c>
      <c r="N20">
        <f>ROUND(MAX(0,(100-K20)*0.35),2)</f>
        <v>34.13</v>
      </c>
      <c r="O20">
        <f>IF(L20&gt;0,0,15)</f>
        <v>15</v>
      </c>
      <c r="P20">
        <f>ROUND(M20+N20+O20,2)</f>
        <v>95.87</v>
      </c>
      <c r="Q20">
        <v>1</v>
      </c>
      <c r="R20">
        <v>20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2</v>
      </c>
      <c r="F21">
        <v>18</v>
      </c>
      <c r="G21">
        <v>18</v>
      </c>
      <c r="H21">
        <v>18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17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19</v>
      </c>
      <c r="H22">
        <v>19</v>
      </c>
      <c r="I22">
        <v>0.5</v>
      </c>
      <c r="J22">
        <v>1.5</v>
      </c>
      <c r="K22">
        <f>ROUND(I22+J22,2)</f>
        <v>2</v>
      </c>
      <c r="L22">
        <v>0</v>
      </c>
      <c r="M22">
        <f>IF(F22=0,0,ROUND(((G22+H22)/(F22*2))*50,2))</f>
        <v>45.24</v>
      </c>
      <c r="N22">
        <f>ROUND(MAX(0,(100-K22)*0.35),2)</f>
        <v>34.3</v>
      </c>
      <c r="O22">
        <f>IF(L22&gt;0,0,15)</f>
        <v>15</v>
      </c>
      <c r="P22">
        <f>ROUND(M22+N22+O22,2)</f>
        <v>94.54000000000001</v>
      </c>
      <c r="Q22">
        <v>1</v>
      </c>
      <c r="R22">
        <v>16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47.24</v>
      </c>
    </row>
    <row r="26" spans="1:18">
      <c r="A26" t="s">
        <v>171</v>
      </c>
      <c r="B26">
        <f>ROUND(AVERAGEIF(Q11:Q22,1,N11:N22),2)</f>
        <v>34.55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96.79000000000001</v>
      </c>
    </row>
    <row r="29" spans="1:18">
      <c r="A29" t="s">
        <v>174</v>
      </c>
      <c r="B29">
        <f>SUMIF(Q11:Q22,1,R11:R22)</f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25.851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102</v>
      </c>
    </row>
    <row r="3" spans="1:18">
      <c r="A3" t="s">
        <v>4</v>
      </c>
      <c r="B3" t="s">
        <v>103</v>
      </c>
    </row>
    <row r="4" spans="1:18">
      <c r="A4" t="s">
        <v>5</v>
      </c>
      <c r="B4" t="s">
        <v>104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105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6</v>
      </c>
      <c r="F16">
        <v>12</v>
      </c>
      <c r="G16">
        <v>12</v>
      </c>
      <c r="H16">
        <v>11</v>
      </c>
      <c r="I16">
        <v>0.0</v>
      </c>
      <c r="J16">
        <v>0.5</v>
      </c>
      <c r="K16">
        <f>ROUND(I16+J16,2)</f>
        <v>0.5</v>
      </c>
      <c r="L16">
        <v>0</v>
      </c>
      <c r="M16">
        <f>IF(F16=0,0,ROUND(((G16+H16)/(F16*2))*50,2))</f>
        <v>47.92</v>
      </c>
      <c r="N16">
        <f>ROUND(MAX(0,(100-K16)*0.35),2)</f>
        <v>34.82</v>
      </c>
      <c r="O16">
        <f>IF(L16&gt;0,0,15)</f>
        <v>15</v>
      </c>
      <c r="P16">
        <f>ROUND(M16+N16+O16,2)</f>
        <v>97.73999999999999</v>
      </c>
      <c r="Q16">
        <v>1</v>
      </c>
      <c r="R16">
        <v>12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22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4</v>
      </c>
      <c r="F19">
        <v>17</v>
      </c>
      <c r="G19">
        <v>17</v>
      </c>
      <c r="H19">
        <v>17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14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22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7</v>
      </c>
      <c r="F21">
        <v>13</v>
      </c>
      <c r="G21">
        <v>13</v>
      </c>
      <c r="H21">
        <v>13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13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7</v>
      </c>
      <c r="F22">
        <v>14</v>
      </c>
      <c r="G22">
        <v>14</v>
      </c>
      <c r="H22">
        <v>14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50</v>
      </c>
      <c r="N22">
        <f>ROUND(MAX(0,(100-K22)*0.35),2)</f>
        <v>35</v>
      </c>
      <c r="O22">
        <f>IF(L22&gt;0,0,15)</f>
        <v>15</v>
      </c>
      <c r="P22">
        <f>ROUND(M22+N22+O22,2)</f>
        <v>100</v>
      </c>
      <c r="Q22">
        <v>1</v>
      </c>
      <c r="R22">
        <v>13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49.7</v>
      </c>
    </row>
    <row r="26" spans="1:18">
      <c r="A26" t="s">
        <v>171</v>
      </c>
      <c r="B26">
        <f>ROUND(AVERAGEIF(Q11:Q22,1,N11:N22),2)</f>
        <v>34.97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99.68000000000001</v>
      </c>
    </row>
    <row r="29" spans="1:18">
      <c r="A29" t="s">
        <v>174</v>
      </c>
      <c r="B29">
        <f>SUMIF(Q11:Q22,1,R11:R22)</f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26.99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106</v>
      </c>
    </row>
    <row r="3" spans="1:18">
      <c r="A3" t="s">
        <v>4</v>
      </c>
      <c r="B3" t="s">
        <v>107</v>
      </c>
    </row>
    <row r="4" spans="1:18">
      <c r="A4" t="s">
        <v>5</v>
      </c>
      <c r="B4" t="s">
        <v>104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105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11</v>
      </c>
      <c r="F16">
        <v>7</v>
      </c>
      <c r="G16">
        <v>7</v>
      </c>
      <c r="H16">
        <v>7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22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2</v>
      </c>
      <c r="F18">
        <v>18</v>
      </c>
      <c r="G18">
        <v>18</v>
      </c>
      <c r="H18">
        <v>18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19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47.62</v>
      </c>
      <c r="N19">
        <f>ROUND(MAX(0,(100-K19)*0.35),2)</f>
        <v>35</v>
      </c>
      <c r="O19">
        <f>IF(L19&gt;0,0,15)</f>
        <v>15</v>
      </c>
      <c r="P19">
        <f>ROUND(M19+N19+O19,2)</f>
        <v>97.62</v>
      </c>
      <c r="Q19">
        <v>1</v>
      </c>
      <c r="R19">
        <v>19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7</v>
      </c>
      <c r="F21">
        <v>13</v>
      </c>
      <c r="G21">
        <v>13</v>
      </c>
      <c r="H21">
        <v>13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13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7</v>
      </c>
      <c r="F22">
        <v>14</v>
      </c>
      <c r="G22">
        <v>12</v>
      </c>
      <c r="H22">
        <v>12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42.86</v>
      </c>
      <c r="N22">
        <f>ROUND(MAX(0,(100-K22)*0.35),2)</f>
        <v>35</v>
      </c>
      <c r="O22">
        <f>IF(L22&gt;0,0,15)</f>
        <v>15</v>
      </c>
      <c r="P22">
        <f>ROUND(M22+N22+O22,2)</f>
        <v>92.86</v>
      </c>
      <c r="Q22">
        <v>1</v>
      </c>
      <c r="R22">
        <v>14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48.64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98.64</v>
      </c>
    </row>
    <row r="29" spans="1:18">
      <c r="A29" t="s">
        <v>174</v>
      </c>
      <c r="B29">
        <f>SUMIF(Q11:Q22,1,R11:R22)</f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1.13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108</v>
      </c>
    </row>
    <row r="3" spans="1:18">
      <c r="A3" t="s">
        <v>4</v>
      </c>
      <c r="B3" t="s">
        <v>109</v>
      </c>
    </row>
    <row r="4" spans="1:18">
      <c r="A4" t="s">
        <v>5</v>
      </c>
      <c r="B4" t="s">
        <v>90</v>
      </c>
    </row>
    <row r="5" spans="1:18">
      <c r="A5" t="s">
        <v>6</v>
      </c>
      <c r="B5" t="s">
        <v>91</v>
      </c>
    </row>
    <row r="6" spans="1:18">
      <c r="A6" t="s">
        <v>7</v>
      </c>
      <c r="B6" t="s">
        <v>92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15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2</v>
      </c>
      <c r="F17">
        <v>21</v>
      </c>
      <c r="G17">
        <v>21</v>
      </c>
      <c r="H17">
        <v>21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21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19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3</v>
      </c>
      <c r="F20">
        <v>20</v>
      </c>
      <c r="G20">
        <v>20</v>
      </c>
      <c r="H20">
        <v>20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18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19</v>
      </c>
      <c r="H21">
        <v>20</v>
      </c>
      <c r="I21">
        <v>0.5</v>
      </c>
      <c r="J21">
        <v>0.0</v>
      </c>
      <c r="K21">
        <f>ROUND(I21+J21,2)</f>
        <v>0.5</v>
      </c>
      <c r="L21">
        <v>0</v>
      </c>
      <c r="M21">
        <f>IF(F21=0,0,ROUND(((G21+H21)/(F21*2))*50,2))</f>
        <v>48.75</v>
      </c>
      <c r="N21">
        <f>ROUND(MAX(0,(100-K21)*0.35),2)</f>
        <v>34.82</v>
      </c>
      <c r="O21">
        <f>IF(L21&gt;0,0,15)</f>
        <v>15</v>
      </c>
      <c r="P21">
        <f>ROUND(M21+N21+O21,2)</f>
        <v>98.56999999999999</v>
      </c>
      <c r="Q21">
        <v>1</v>
      </c>
      <c r="R21">
        <v>18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6</v>
      </c>
      <c r="F22">
        <v>15</v>
      </c>
      <c r="G22">
        <v>15</v>
      </c>
      <c r="H22">
        <v>15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50</v>
      </c>
      <c r="N22">
        <f>ROUND(MAX(0,(100-K22)*0.35),2)</f>
        <v>35</v>
      </c>
      <c r="O22">
        <f>IF(L22&gt;0,0,15)</f>
        <v>15</v>
      </c>
      <c r="P22">
        <f>ROUND(M22+N22+O22,2)</f>
        <v>100</v>
      </c>
      <c r="Q22">
        <v>1</v>
      </c>
      <c r="R22">
        <v>14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49.79</v>
      </c>
    </row>
    <row r="26" spans="1:18">
      <c r="A26" t="s">
        <v>171</v>
      </c>
      <c r="B26">
        <f>ROUND(AVERAGEIF(Q11:Q22,1,N11:N22),2)</f>
        <v>34.97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99.76000000000001</v>
      </c>
    </row>
    <row r="29" spans="1:18">
      <c r="A29" t="s">
        <v>174</v>
      </c>
      <c r="B29">
        <f>SUMIF(Q11:Q22,1,R11:R22)</f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2.992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110</v>
      </c>
    </row>
    <row r="3" spans="1:18">
      <c r="A3" t="s">
        <v>4</v>
      </c>
      <c r="B3" t="s">
        <v>111</v>
      </c>
    </row>
    <row r="4" spans="1:18">
      <c r="A4" t="s">
        <v>5</v>
      </c>
      <c r="B4" t="s">
        <v>95</v>
      </c>
    </row>
    <row r="5" spans="1:18">
      <c r="A5" t="s">
        <v>6</v>
      </c>
      <c r="B5" t="s">
        <v>72</v>
      </c>
    </row>
    <row r="6" spans="1:18">
      <c r="A6" t="s">
        <v>7</v>
      </c>
      <c r="B6" t="s">
        <v>112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1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22</v>
      </c>
      <c r="H20">
        <v>22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47.83</v>
      </c>
      <c r="N20">
        <f>ROUND(MAX(0,(100-K20)*0.35),2)</f>
        <v>35</v>
      </c>
      <c r="O20">
        <f>IF(L20&gt;0,0,15)</f>
        <v>15</v>
      </c>
      <c r="P20">
        <f>ROUND(M20+N20+O20,2)</f>
        <v>97.83</v>
      </c>
      <c r="Q20">
        <v>1</v>
      </c>
      <c r="R20">
        <v>22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19</v>
      </c>
      <c r="H22">
        <v>19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45.24</v>
      </c>
      <c r="N22">
        <f>ROUND(MAX(0,(100-K22)*0.35),2)</f>
        <v>35</v>
      </c>
      <c r="O22">
        <f>IF(L22&gt;0,0,15)</f>
        <v>15</v>
      </c>
      <c r="P22">
        <f>ROUND(M22+N22+O22,2)</f>
        <v>95.23999999999999</v>
      </c>
      <c r="Q22">
        <v>1</v>
      </c>
      <c r="R22">
        <v>20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42.88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92.88</v>
      </c>
    </row>
    <row r="29" spans="1:18">
      <c r="A29" t="s">
        <v>174</v>
      </c>
      <c r="B29">
        <f>SUMIF(Q11:Q22,1,R11:R22)</f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1.13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113</v>
      </c>
    </row>
    <row r="3" spans="1:18">
      <c r="A3" t="s">
        <v>4</v>
      </c>
      <c r="B3" t="s">
        <v>114</v>
      </c>
    </row>
    <row r="4" spans="1:18">
      <c r="A4" t="s">
        <v>5</v>
      </c>
      <c r="B4" t="s">
        <v>115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112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1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21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</v>
      </c>
      <c r="F19">
        <v>20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19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1</v>
      </c>
      <c r="F20">
        <v>22</v>
      </c>
      <c r="G20">
        <v>22</v>
      </c>
      <c r="H20">
        <v>22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19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1</v>
      </c>
      <c r="F22">
        <v>20</v>
      </c>
      <c r="G22">
        <v>18</v>
      </c>
      <c r="H22">
        <v>18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45</v>
      </c>
      <c r="N22">
        <f>ROUND(MAX(0,(100-K22)*0.35),2)</f>
        <v>35</v>
      </c>
      <c r="O22">
        <f>IF(L22&gt;0,0,15)</f>
        <v>15</v>
      </c>
      <c r="P22">
        <f>ROUND(M22+N22+O22,2)</f>
        <v>95</v>
      </c>
      <c r="Q22">
        <v>1</v>
      </c>
      <c r="R22">
        <v>19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43.13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93.13</v>
      </c>
    </row>
    <row r="29" spans="1:18">
      <c r="A29" t="s">
        <v>174</v>
      </c>
      <c r="B29">
        <f>SUMIF(Q11:Q22,1,R11:R22)</f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44.703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116</v>
      </c>
    </row>
    <row r="3" spans="1:18">
      <c r="A3" t="s">
        <v>4</v>
      </c>
      <c r="B3" t="s">
        <v>117</v>
      </c>
    </row>
    <row r="4" spans="1:18">
      <c r="A4" t="s">
        <v>5</v>
      </c>
      <c r="B4" t="s">
        <v>61</v>
      </c>
    </row>
    <row r="5" spans="1:18">
      <c r="A5" t="s">
        <v>6</v>
      </c>
      <c r="B5" t="s">
        <v>62</v>
      </c>
    </row>
    <row r="6" spans="1:18">
      <c r="A6" t="s">
        <v>7</v>
      </c>
      <c r="B6" t="s">
        <v>31</v>
      </c>
    </row>
    <row r="7" spans="1:18">
      <c r="A7" t="s">
        <v>8</v>
      </c>
      <c r="B7" t="s">
        <v>32</v>
      </c>
    </row>
    <row r="8" spans="1:18">
      <c r="A8" t="s">
        <v>126</v>
      </c>
      <c r="B8">
        <v>9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0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0</v>
      </c>
      <c r="H16">
        <v>0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0</v>
      </c>
      <c r="N16">
        <f>ROUND(MAX(0,(100-K16)*0.35),2)</f>
        <v>35</v>
      </c>
      <c r="O16">
        <f>IF(L16&gt;0,0,15)</f>
        <v>15</v>
      </c>
      <c r="P16">
        <f>ROUND(M16+N16+O16,2)</f>
        <v>50</v>
      </c>
      <c r="Q16">
        <v>0</v>
      </c>
      <c r="R16">
        <v>0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0</v>
      </c>
      <c r="H17">
        <v>0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0</v>
      </c>
      <c r="N17">
        <f>ROUND(MAX(0,(100-K17)*0.35),2)</f>
        <v>35</v>
      </c>
      <c r="O17">
        <f>IF(L17&gt;0,0,15)</f>
        <v>15</v>
      </c>
      <c r="P17">
        <f>ROUND(M17+N17+O17,2)</f>
        <v>50</v>
      </c>
      <c r="Q17">
        <v>0</v>
      </c>
      <c r="R17">
        <v>0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0</v>
      </c>
      <c r="H18">
        <v>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0</v>
      </c>
      <c r="N18">
        <f>ROUND(MAX(0,(100-K18)*0.35),2)</f>
        <v>35</v>
      </c>
      <c r="O18">
        <f>IF(L18&gt;0,0,15)</f>
        <v>15</v>
      </c>
      <c r="P18">
        <f>ROUND(M18+N18+O18,2)</f>
        <v>50</v>
      </c>
      <c r="Q18">
        <v>0</v>
      </c>
      <c r="R18">
        <v>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0</v>
      </c>
      <c r="F19">
        <v>21</v>
      </c>
      <c r="G19">
        <v>21</v>
      </c>
      <c r="H19">
        <v>21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21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0</v>
      </c>
      <c r="F21">
        <v>20</v>
      </c>
      <c r="G21">
        <v>20</v>
      </c>
      <c r="H21">
        <v>20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20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20</v>
      </c>
      <c r="H22">
        <v>20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47.62</v>
      </c>
      <c r="N22">
        <f>ROUND(MAX(0,(100-K22)*0.35),2)</f>
        <v>35</v>
      </c>
      <c r="O22">
        <f>IF(L22&gt;0,0,15)</f>
        <v>15</v>
      </c>
      <c r="P22">
        <f>ROUND(M22+N22+O22,2)</f>
        <v>97.62</v>
      </c>
      <c r="Q22">
        <v>1</v>
      </c>
      <c r="R22">
        <v>21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49.41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99.41</v>
      </c>
    </row>
    <row r="29" spans="1:18">
      <c r="A29" t="s">
        <v>174</v>
      </c>
      <c r="B29">
        <f>SUMIF(Q11:Q22,1,R11:R22)</f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9.99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118</v>
      </c>
    </row>
    <row r="3" spans="1:18">
      <c r="A3" t="s">
        <v>4</v>
      </c>
      <c r="B3" t="s">
        <v>119</v>
      </c>
    </row>
    <row r="4" spans="1:18">
      <c r="A4" t="s">
        <v>5</v>
      </c>
      <c r="B4" t="s">
        <v>101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112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1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1</v>
      </c>
      <c r="F18">
        <v>19</v>
      </c>
      <c r="G18">
        <v>19</v>
      </c>
      <c r="H18">
        <v>19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20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</v>
      </c>
      <c r="F19">
        <v>20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19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1</v>
      </c>
      <c r="F21">
        <v>19</v>
      </c>
      <c r="G21">
        <v>19</v>
      </c>
      <c r="H21">
        <v>19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18</v>
      </c>
      <c r="H22">
        <v>18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42.86</v>
      </c>
      <c r="N22">
        <f>ROUND(MAX(0,(100-K22)*0.35),2)</f>
        <v>35</v>
      </c>
      <c r="O22">
        <f>IF(L22&gt;0,0,15)</f>
        <v>15</v>
      </c>
      <c r="P22">
        <f>ROUND(M22+N22+O22,2)</f>
        <v>92.86</v>
      </c>
      <c r="Q22">
        <v>1</v>
      </c>
      <c r="R22">
        <v>19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42.86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92.86</v>
      </c>
    </row>
    <row r="29" spans="1:18">
      <c r="A29" t="s">
        <v>174</v>
      </c>
      <c r="B29">
        <f>SUMIF(Q11:Q22,1,R11:R22)</f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0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9.99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21.138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120</v>
      </c>
    </row>
    <row r="3" spans="1:18">
      <c r="A3" t="s">
        <v>4</v>
      </c>
      <c r="B3" t="s">
        <v>121</v>
      </c>
    </row>
    <row r="4" spans="1:18">
      <c r="A4" t="s">
        <v>5</v>
      </c>
      <c r="B4" t="s">
        <v>101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112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0</v>
      </c>
      <c r="F11">
        <v>19</v>
      </c>
      <c r="G11">
        <v>0</v>
      </c>
      <c r="H11">
        <v>0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0</v>
      </c>
      <c r="N11">
        <f>ROUND(MAX(0,(100-K11)*0.35),2)</f>
        <v>35</v>
      </c>
      <c r="O11">
        <f>IF(L11&gt;0,0,15)</f>
        <v>15</v>
      </c>
      <c r="P11">
        <f>ROUND(M11+N11+O11,2)</f>
        <v>50</v>
      </c>
      <c r="Q11">
        <v>0</v>
      </c>
      <c r="R11">
        <v>0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0</v>
      </c>
      <c r="F12">
        <v>20</v>
      </c>
      <c r="G12">
        <v>0</v>
      </c>
      <c r="H12">
        <v>0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0</v>
      </c>
      <c r="N12">
        <f>ROUND(MAX(0,(100-K12)*0.35),2)</f>
        <v>35</v>
      </c>
      <c r="O12">
        <f>IF(L12&gt;0,0,15)</f>
        <v>15</v>
      </c>
      <c r="P12">
        <f>ROUND(M12+N12+O12,2)</f>
        <v>50</v>
      </c>
      <c r="Q12">
        <v>0</v>
      </c>
      <c r="R12">
        <v>0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0</v>
      </c>
      <c r="F13">
        <v>19</v>
      </c>
      <c r="G13">
        <v>0</v>
      </c>
      <c r="H13">
        <v>0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0</v>
      </c>
      <c r="N13">
        <f>ROUND(MAX(0,(100-K13)*0.35),2)</f>
        <v>35</v>
      </c>
      <c r="O13">
        <f>IF(L13&gt;0,0,15)</f>
        <v>15</v>
      </c>
      <c r="P13">
        <f>ROUND(M13+N13+O13,2)</f>
        <v>50</v>
      </c>
      <c r="Q13">
        <v>0</v>
      </c>
      <c r="R13">
        <v>0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0</v>
      </c>
      <c r="H14">
        <v>0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0</v>
      </c>
      <c r="N14">
        <f>ROUND(MAX(0,(100-K14)*0.35),2)</f>
        <v>35</v>
      </c>
      <c r="O14">
        <f>IF(L14&gt;0,0,15)</f>
        <v>15</v>
      </c>
      <c r="P14">
        <f>ROUND(M14+N14+O14,2)</f>
        <v>50</v>
      </c>
      <c r="Q14">
        <v>0</v>
      </c>
      <c r="R14">
        <v>0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0</v>
      </c>
      <c r="F15">
        <v>17</v>
      </c>
      <c r="G15">
        <v>0</v>
      </c>
      <c r="H15">
        <v>0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0</v>
      </c>
      <c r="N15">
        <f>ROUND(MAX(0,(100-K15)*0.35),2)</f>
        <v>35</v>
      </c>
      <c r="O15">
        <f>IF(L15&gt;0,0,15)</f>
        <v>15</v>
      </c>
      <c r="P15">
        <f>ROUND(M15+N15+O15,2)</f>
        <v>50</v>
      </c>
      <c r="Q15">
        <v>1</v>
      </c>
      <c r="R15">
        <v>0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0</v>
      </c>
      <c r="F16">
        <v>18</v>
      </c>
      <c r="G16">
        <v>18</v>
      </c>
      <c r="H16">
        <v>18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17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0</v>
      </c>
      <c r="F17">
        <v>23</v>
      </c>
      <c r="G17">
        <v>23</v>
      </c>
      <c r="H17">
        <v>23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50</v>
      </c>
      <c r="N17">
        <f>ROUND(MAX(0,(100-K17)*0.35),2)</f>
        <v>35</v>
      </c>
      <c r="O17">
        <f>IF(L17&gt;0,0,15)</f>
        <v>15</v>
      </c>
      <c r="P17">
        <f>ROUND(M17+N17+O17,2)</f>
        <v>100</v>
      </c>
      <c r="Q17">
        <v>1</v>
      </c>
      <c r="R17">
        <v>23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0</v>
      </c>
      <c r="F18">
        <v>20</v>
      </c>
      <c r="G18">
        <v>20</v>
      </c>
      <c r="H18">
        <v>20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21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2</v>
      </c>
      <c r="F19">
        <v>19</v>
      </c>
      <c r="G19">
        <v>19</v>
      </c>
      <c r="H19">
        <v>19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19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0</v>
      </c>
      <c r="F20">
        <v>23</v>
      </c>
      <c r="G20">
        <v>23</v>
      </c>
      <c r="H20">
        <v>23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23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7</v>
      </c>
      <c r="F21">
        <v>13</v>
      </c>
      <c r="G21">
        <v>13</v>
      </c>
      <c r="H21">
        <v>13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13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0</v>
      </c>
      <c r="F22">
        <v>21</v>
      </c>
      <c r="G22">
        <v>19</v>
      </c>
      <c r="H22">
        <v>19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45.24</v>
      </c>
      <c r="N22">
        <f>ROUND(MAX(0,(100-K22)*0.35),2)</f>
        <v>35</v>
      </c>
      <c r="O22">
        <f>IF(L22&gt;0,0,15)</f>
        <v>15</v>
      </c>
      <c r="P22">
        <f>ROUND(M22+N22+O22,2)</f>
        <v>95.23999999999999</v>
      </c>
      <c r="Q22">
        <v>1</v>
      </c>
      <c r="R22">
        <v>20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43.16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93.16</v>
      </c>
    </row>
    <row r="29" spans="1:18">
      <c r="A29" t="s">
        <v>174</v>
      </c>
      <c r="B29">
        <f>SUMIF(Q11:Q22,1,R11:R22)</f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9"/>
  <sheetViews>
    <sheetView tabSelected="1" workbookViewId="0" showGridLines="true" showRowColHeaders="1">
      <pane ySplit="10" activePane="bottomLeft" state="frozen" topLeftCell="A11"/>
      <selection pane="bottomLeft" activeCell="A10" sqref="A10:R10"/>
    </sheetView>
  </sheetViews>
  <sheetFormatPr defaultRowHeight="14.4" outlineLevelRow="0" outlineLevelCol="0"/>
  <cols>
    <col min="1" max="1" width="34.135" bestFit="true" customWidth="true" style="0"/>
    <col min="2" max="2" width="39.99" bestFit="true" customWidth="true" style="0"/>
    <col min="3" max="3" width="72.982" bestFit="true" customWidth="true" style="0"/>
    <col min="4" max="4" width="19.995" bestFit="true" customWidth="true" style="0"/>
    <col min="5" max="5" width="21.138" bestFit="true" customWidth="true" style="0"/>
    <col min="6" max="6" width="17.567" bestFit="true" customWidth="true" style="0"/>
    <col min="7" max="7" width="25.851" bestFit="true" customWidth="true" style="0"/>
    <col min="8" max="8" width="26.993" bestFit="true" customWidth="true" style="0"/>
    <col min="9" max="9" width="21.138" bestFit="true" customWidth="true" style="0"/>
    <col min="10" max="10" width="23.423" bestFit="true" customWidth="true" style="0"/>
    <col min="11" max="11" width="16.425" bestFit="true" customWidth="true" style="0"/>
    <col min="12" max="12" width="16.425" bestFit="true" customWidth="true" style="0"/>
    <col min="13" max="13" width="16.425" bestFit="true" customWidth="true" style="0"/>
    <col min="14" max="14" width="16.425" bestFit="true" customWidth="true" style="0"/>
    <col min="15" max="15" width="16.425" bestFit="true" customWidth="true" style="0"/>
    <col min="16" max="16" width="12.854" bestFit="true" customWidth="true" style="0"/>
    <col min="17" max="17" width="16.425" bestFit="true" customWidth="true" style="0"/>
    <col min="18" max="18" width="22.28" bestFit="true" customWidth="true" style="0"/>
  </cols>
  <sheetData>
    <row r="1" spans="1:18">
      <c r="A1" t="s">
        <v>125</v>
      </c>
    </row>
    <row r="2" spans="1:18">
      <c r="A2" t="s">
        <v>3</v>
      </c>
      <c r="B2" t="s">
        <v>122</v>
      </c>
    </row>
    <row r="3" spans="1:18">
      <c r="A3" t="s">
        <v>4</v>
      </c>
      <c r="B3" t="s">
        <v>123</v>
      </c>
    </row>
    <row r="4" spans="1:18">
      <c r="A4" t="s">
        <v>5</v>
      </c>
      <c r="B4" t="s">
        <v>101</v>
      </c>
    </row>
    <row r="5" spans="1:18">
      <c r="A5" t="s">
        <v>6</v>
      </c>
      <c r="B5" t="s">
        <v>77</v>
      </c>
    </row>
    <row r="6" spans="1:18">
      <c r="A6" t="s">
        <v>7</v>
      </c>
      <c r="B6" t="s">
        <v>124</v>
      </c>
    </row>
    <row r="7" spans="1:18">
      <c r="A7" t="s">
        <v>8</v>
      </c>
      <c r="B7" t="s">
        <v>18</v>
      </c>
    </row>
    <row r="8" spans="1:18">
      <c r="A8" t="s">
        <v>126</v>
      </c>
      <c r="B8">
        <v>1</v>
      </c>
    </row>
    <row r="10" spans="1:18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  <c r="Q10" s="1" t="s">
        <v>143</v>
      </c>
      <c r="R10" s="1" t="s">
        <v>144</v>
      </c>
    </row>
    <row r="11" spans="1:18">
      <c r="A11">
        <v>1</v>
      </c>
      <c r="B11" t="s">
        <v>145</v>
      </c>
      <c r="C11" t="s">
        <v>146</v>
      </c>
      <c r="D11">
        <v>19</v>
      </c>
      <c r="E11">
        <v>1</v>
      </c>
      <c r="F11">
        <v>18</v>
      </c>
      <c r="G11">
        <v>18</v>
      </c>
      <c r="H11">
        <v>18</v>
      </c>
      <c r="I11">
        <v>0.0</v>
      </c>
      <c r="J11">
        <v>0.0</v>
      </c>
      <c r="K11">
        <f>ROUND(I11+J11,2)</f>
        <v>0</v>
      </c>
      <c r="L11">
        <v>0</v>
      </c>
      <c r="M11">
        <f>IF(F11=0,0,ROUND(((G11+H11)/(F11*2))*50,2))</f>
        <v>50</v>
      </c>
      <c r="N11">
        <f>ROUND(MAX(0,(100-K11)*0.35),2)</f>
        <v>35</v>
      </c>
      <c r="O11">
        <f>IF(L11&gt;0,0,15)</f>
        <v>15</v>
      </c>
      <c r="P11">
        <f>ROUND(M11+N11+O11,2)</f>
        <v>100</v>
      </c>
      <c r="Q11">
        <v>1</v>
      </c>
      <c r="R11">
        <v>18</v>
      </c>
    </row>
    <row r="12" spans="1:18">
      <c r="A12">
        <v>2</v>
      </c>
      <c r="B12" t="s">
        <v>147</v>
      </c>
      <c r="C12" t="s">
        <v>148</v>
      </c>
      <c r="D12">
        <v>20</v>
      </c>
      <c r="E12">
        <v>1</v>
      </c>
      <c r="F12">
        <v>19</v>
      </c>
      <c r="G12">
        <v>19</v>
      </c>
      <c r="H12">
        <v>19</v>
      </c>
      <c r="I12">
        <v>0.0</v>
      </c>
      <c r="J12">
        <v>0.0</v>
      </c>
      <c r="K12">
        <f>ROUND(I12+J12,2)</f>
        <v>0</v>
      </c>
      <c r="L12">
        <v>0</v>
      </c>
      <c r="M12">
        <f>IF(F12=0,0,ROUND(((G12+H12)/(F12*2))*50,2))</f>
        <v>50</v>
      </c>
      <c r="N12">
        <f>ROUND(MAX(0,(100-K12)*0.35),2)</f>
        <v>35</v>
      </c>
      <c r="O12">
        <f>IF(L12&gt;0,0,15)</f>
        <v>15</v>
      </c>
      <c r="P12">
        <f>ROUND(M12+N12+O12,2)</f>
        <v>100</v>
      </c>
      <c r="Q12">
        <v>1</v>
      </c>
      <c r="R12">
        <v>19</v>
      </c>
    </row>
    <row r="13" spans="1:18">
      <c r="A13">
        <v>3</v>
      </c>
      <c r="B13" t="s">
        <v>149</v>
      </c>
      <c r="C13" t="s">
        <v>150</v>
      </c>
      <c r="D13">
        <v>19</v>
      </c>
      <c r="E13">
        <v>10</v>
      </c>
      <c r="F13">
        <v>9</v>
      </c>
      <c r="G13">
        <v>9</v>
      </c>
      <c r="H13">
        <v>9</v>
      </c>
      <c r="I13">
        <v>0.0</v>
      </c>
      <c r="J13">
        <v>0.0</v>
      </c>
      <c r="K13">
        <f>ROUND(I13+J13,2)</f>
        <v>0</v>
      </c>
      <c r="L13">
        <v>0</v>
      </c>
      <c r="M13">
        <f>IF(F13=0,0,ROUND(((G13+H13)/(F13*2))*50,2))</f>
        <v>50</v>
      </c>
      <c r="N13">
        <f>ROUND(MAX(0,(100-K13)*0.35),2)</f>
        <v>35</v>
      </c>
      <c r="O13">
        <f>IF(L13&gt;0,0,15)</f>
        <v>15</v>
      </c>
      <c r="P13">
        <f>ROUND(M13+N13+O13,2)</f>
        <v>100</v>
      </c>
      <c r="Q13">
        <v>1</v>
      </c>
      <c r="R13">
        <v>9</v>
      </c>
    </row>
    <row r="14" spans="1:18">
      <c r="A14">
        <v>4</v>
      </c>
      <c r="B14" t="s">
        <v>151</v>
      </c>
      <c r="C14" t="s">
        <v>152</v>
      </c>
      <c r="D14">
        <v>16</v>
      </c>
      <c r="E14">
        <v>0</v>
      </c>
      <c r="F14">
        <v>16</v>
      </c>
      <c r="G14">
        <v>16</v>
      </c>
      <c r="H14">
        <v>16</v>
      </c>
      <c r="I14">
        <v>0.0</v>
      </c>
      <c r="J14">
        <v>0.0</v>
      </c>
      <c r="K14">
        <f>ROUND(I14+J14,2)</f>
        <v>0</v>
      </c>
      <c r="L14">
        <v>0</v>
      </c>
      <c r="M14">
        <f>IF(F14=0,0,ROUND(((G14+H14)/(F14*2))*50,2))</f>
        <v>50</v>
      </c>
      <c r="N14">
        <f>ROUND(MAX(0,(100-K14)*0.35),2)</f>
        <v>35</v>
      </c>
      <c r="O14">
        <f>IF(L14&gt;0,0,15)</f>
        <v>15</v>
      </c>
      <c r="P14">
        <f>ROUND(M14+N14+O14,2)</f>
        <v>100</v>
      </c>
      <c r="Q14">
        <v>1</v>
      </c>
      <c r="R14">
        <v>16</v>
      </c>
    </row>
    <row r="15" spans="1:18">
      <c r="A15">
        <v>5</v>
      </c>
      <c r="B15" t="s">
        <v>153</v>
      </c>
      <c r="C15" t="s">
        <v>154</v>
      </c>
      <c r="D15">
        <v>17</v>
      </c>
      <c r="E15">
        <v>1</v>
      </c>
      <c r="F15">
        <v>16</v>
      </c>
      <c r="G15">
        <v>16</v>
      </c>
      <c r="H15">
        <v>16</v>
      </c>
      <c r="I15">
        <v>0.0</v>
      </c>
      <c r="J15">
        <v>0.0</v>
      </c>
      <c r="K15">
        <f>ROUND(I15+J15,2)</f>
        <v>0</v>
      </c>
      <c r="L15">
        <v>0</v>
      </c>
      <c r="M15">
        <f>IF(F15=0,0,ROUND(((G15+H15)/(F15*2))*50,2))</f>
        <v>50</v>
      </c>
      <c r="N15">
        <f>ROUND(MAX(0,(100-K15)*0.35),2)</f>
        <v>35</v>
      </c>
      <c r="O15">
        <f>IF(L15&gt;0,0,15)</f>
        <v>15</v>
      </c>
      <c r="P15">
        <f>ROUND(M15+N15+O15,2)</f>
        <v>100</v>
      </c>
      <c r="Q15">
        <v>1</v>
      </c>
      <c r="R15">
        <v>16</v>
      </c>
    </row>
    <row r="16" spans="1:18">
      <c r="A16">
        <v>6</v>
      </c>
      <c r="B16" t="s">
        <v>155</v>
      </c>
      <c r="C16" t="s">
        <v>156</v>
      </c>
      <c r="D16">
        <v>18</v>
      </c>
      <c r="E16">
        <v>5</v>
      </c>
      <c r="F16">
        <v>13</v>
      </c>
      <c r="G16">
        <v>13</v>
      </c>
      <c r="H16">
        <v>13</v>
      </c>
      <c r="I16">
        <v>0.0</v>
      </c>
      <c r="J16">
        <v>0.0</v>
      </c>
      <c r="K16">
        <f>ROUND(I16+J16,2)</f>
        <v>0</v>
      </c>
      <c r="L16">
        <v>0</v>
      </c>
      <c r="M16">
        <f>IF(F16=0,0,ROUND(((G16+H16)/(F16*2))*50,2))</f>
        <v>50</v>
      </c>
      <c r="N16">
        <f>ROUND(MAX(0,(100-K16)*0.35),2)</f>
        <v>35</v>
      </c>
      <c r="O16">
        <f>IF(L16&gt;0,0,15)</f>
        <v>15</v>
      </c>
      <c r="P16">
        <f>ROUND(M16+N16+O16,2)</f>
        <v>100</v>
      </c>
      <c r="Q16">
        <v>1</v>
      </c>
      <c r="R16">
        <v>13</v>
      </c>
    </row>
    <row r="17" spans="1:18">
      <c r="A17">
        <v>7</v>
      </c>
      <c r="B17" t="s">
        <v>157</v>
      </c>
      <c r="C17" t="s">
        <v>158</v>
      </c>
      <c r="D17">
        <v>23</v>
      </c>
      <c r="E17">
        <v>3</v>
      </c>
      <c r="F17">
        <v>20</v>
      </c>
      <c r="G17">
        <v>19</v>
      </c>
      <c r="H17">
        <v>19</v>
      </c>
      <c r="I17">
        <v>0.0</v>
      </c>
      <c r="J17">
        <v>0.0</v>
      </c>
      <c r="K17">
        <f>ROUND(I17+J17,2)</f>
        <v>0</v>
      </c>
      <c r="L17">
        <v>0</v>
      </c>
      <c r="M17">
        <f>IF(F17=0,0,ROUND(((G17+H17)/(F17*2))*50,2))</f>
        <v>47.5</v>
      </c>
      <c r="N17">
        <f>ROUND(MAX(0,(100-K17)*0.35),2)</f>
        <v>35</v>
      </c>
      <c r="O17">
        <f>IF(L17&gt;0,0,15)</f>
        <v>15</v>
      </c>
      <c r="P17">
        <f>ROUND(M17+N17+O17,2)</f>
        <v>97.5</v>
      </c>
      <c r="Q17">
        <v>1</v>
      </c>
      <c r="R17">
        <v>19</v>
      </c>
    </row>
    <row r="18" spans="1:18">
      <c r="A18">
        <v>8</v>
      </c>
      <c r="B18" t="s">
        <v>159</v>
      </c>
      <c r="C18" t="s">
        <v>160</v>
      </c>
      <c r="D18">
        <v>20</v>
      </c>
      <c r="E18">
        <v>3</v>
      </c>
      <c r="F18">
        <v>17</v>
      </c>
      <c r="G18">
        <v>17</v>
      </c>
      <c r="H18">
        <v>17</v>
      </c>
      <c r="I18">
        <v>0.0</v>
      </c>
      <c r="J18">
        <v>0.0</v>
      </c>
      <c r="K18">
        <f>ROUND(I18+J18,2)</f>
        <v>0</v>
      </c>
      <c r="L18">
        <v>0</v>
      </c>
      <c r="M18">
        <f>IF(F18=0,0,ROUND(((G18+H18)/(F18*2))*50,2))</f>
        <v>50</v>
      </c>
      <c r="N18">
        <f>ROUND(MAX(0,(100-K18)*0.35),2)</f>
        <v>35</v>
      </c>
      <c r="O18">
        <f>IF(L18&gt;0,0,15)</f>
        <v>15</v>
      </c>
      <c r="P18">
        <f>ROUND(M18+N18+O18,2)</f>
        <v>100</v>
      </c>
      <c r="Q18">
        <v>1</v>
      </c>
      <c r="R18">
        <v>18</v>
      </c>
    </row>
    <row r="19" spans="1:18">
      <c r="A19">
        <v>9</v>
      </c>
      <c r="B19" t="s">
        <v>161</v>
      </c>
      <c r="C19" t="s">
        <v>162</v>
      </c>
      <c r="D19">
        <v>21</v>
      </c>
      <c r="E19">
        <v>1</v>
      </c>
      <c r="F19">
        <v>20</v>
      </c>
      <c r="G19">
        <v>20</v>
      </c>
      <c r="H19">
        <v>20</v>
      </c>
      <c r="I19">
        <v>0.0</v>
      </c>
      <c r="J19">
        <v>0.0</v>
      </c>
      <c r="K19">
        <f>ROUND(I19+J19,2)</f>
        <v>0</v>
      </c>
      <c r="L19">
        <v>0</v>
      </c>
      <c r="M19">
        <f>IF(F19=0,0,ROUND(((G19+H19)/(F19*2))*50,2))</f>
        <v>50</v>
      </c>
      <c r="N19">
        <f>ROUND(MAX(0,(100-K19)*0.35),2)</f>
        <v>35</v>
      </c>
      <c r="O19">
        <f>IF(L19&gt;0,0,15)</f>
        <v>15</v>
      </c>
      <c r="P19">
        <f>ROUND(M19+N19+O19,2)</f>
        <v>100</v>
      </c>
      <c r="Q19">
        <v>1</v>
      </c>
      <c r="R19">
        <v>20</v>
      </c>
    </row>
    <row r="20" spans="1:18">
      <c r="A20">
        <v>10</v>
      </c>
      <c r="B20" t="s">
        <v>163</v>
      </c>
      <c r="C20" t="s">
        <v>164</v>
      </c>
      <c r="D20">
        <v>23</v>
      </c>
      <c r="E20">
        <v>7</v>
      </c>
      <c r="F20">
        <v>16</v>
      </c>
      <c r="G20">
        <v>16</v>
      </c>
      <c r="H20">
        <v>16</v>
      </c>
      <c r="I20">
        <v>0.0</v>
      </c>
      <c r="J20">
        <v>0.0</v>
      </c>
      <c r="K20">
        <f>ROUND(I20+J20,2)</f>
        <v>0</v>
      </c>
      <c r="L20">
        <v>0</v>
      </c>
      <c r="M20">
        <f>IF(F20=0,0,ROUND(((G20+H20)/(F20*2))*50,2))</f>
        <v>50</v>
      </c>
      <c r="N20">
        <f>ROUND(MAX(0,(100-K20)*0.35),2)</f>
        <v>35</v>
      </c>
      <c r="O20">
        <f>IF(L20&gt;0,0,15)</f>
        <v>15</v>
      </c>
      <c r="P20">
        <f>ROUND(M20+N20+O20,2)</f>
        <v>100</v>
      </c>
      <c r="Q20">
        <v>1</v>
      </c>
      <c r="R20">
        <v>16</v>
      </c>
    </row>
    <row r="21" spans="1:18">
      <c r="A21">
        <v>11</v>
      </c>
      <c r="B21" t="s">
        <v>165</v>
      </c>
      <c r="C21" t="s">
        <v>166</v>
      </c>
      <c r="D21">
        <v>20</v>
      </c>
      <c r="E21">
        <v>1</v>
      </c>
      <c r="F21">
        <v>19</v>
      </c>
      <c r="G21">
        <v>19</v>
      </c>
      <c r="H21">
        <v>19</v>
      </c>
      <c r="I21">
        <v>0.0</v>
      </c>
      <c r="J21">
        <v>0.0</v>
      </c>
      <c r="K21">
        <f>ROUND(I21+J21,2)</f>
        <v>0</v>
      </c>
      <c r="L21">
        <v>0</v>
      </c>
      <c r="M21">
        <f>IF(F21=0,0,ROUND(((G21+H21)/(F21*2))*50,2))</f>
        <v>50</v>
      </c>
      <c r="N21">
        <f>ROUND(MAX(0,(100-K21)*0.35),2)</f>
        <v>35</v>
      </c>
      <c r="O21">
        <f>IF(L21&gt;0,0,15)</f>
        <v>15</v>
      </c>
      <c r="P21">
        <f>ROUND(M21+N21+O21,2)</f>
        <v>100</v>
      </c>
      <c r="Q21">
        <v>1</v>
      </c>
      <c r="R21">
        <v>19</v>
      </c>
    </row>
    <row r="22" spans="1:18">
      <c r="A22">
        <v>12</v>
      </c>
      <c r="B22" t="s">
        <v>167</v>
      </c>
      <c r="C22" t="s">
        <v>168</v>
      </c>
      <c r="D22">
        <v>21</v>
      </c>
      <c r="E22">
        <v>5</v>
      </c>
      <c r="F22">
        <v>16</v>
      </c>
      <c r="G22">
        <v>14</v>
      </c>
      <c r="H22">
        <v>14</v>
      </c>
      <c r="I22">
        <v>0.0</v>
      </c>
      <c r="J22">
        <v>0.0</v>
      </c>
      <c r="K22">
        <f>ROUND(I22+J22,2)</f>
        <v>0</v>
      </c>
      <c r="L22">
        <v>0</v>
      </c>
      <c r="M22">
        <f>IF(F22=0,0,ROUND(((G22+H22)/(F22*2))*50,2))</f>
        <v>43.75</v>
      </c>
      <c r="N22">
        <f>ROUND(MAX(0,(100-K22)*0.35),2)</f>
        <v>35</v>
      </c>
      <c r="O22">
        <f>IF(L22&gt;0,0,15)</f>
        <v>15</v>
      </c>
      <c r="P22">
        <f>ROUND(M22+N22+O22,2)</f>
        <v>93.75</v>
      </c>
      <c r="Q22">
        <v>1</v>
      </c>
      <c r="R22">
        <v>15</v>
      </c>
    </row>
    <row r="24" spans="1:18">
      <c r="A24" t="s">
        <v>169</v>
      </c>
    </row>
    <row r="25" spans="1:18">
      <c r="A25" t="s">
        <v>170</v>
      </c>
      <c r="B25">
        <f>ROUND(AVERAGEIF(Q11:Q22,1,M11:M22),2)</f>
        <v>49.27</v>
      </c>
    </row>
    <row r="26" spans="1:18">
      <c r="A26" t="s">
        <v>171</v>
      </c>
      <c r="B26">
        <f>ROUND(AVERAGEIF(Q11:Q22,1,N11:N22),2)</f>
        <v>35</v>
      </c>
    </row>
    <row r="27" spans="1:18">
      <c r="A27" t="s">
        <v>172</v>
      </c>
      <c r="B27">
        <f>ROUND(AVERAGEIF(Q11:Q22,1,O11:O22),2)</f>
        <v>15</v>
      </c>
    </row>
    <row r="28" spans="1:18">
      <c r="A28" t="s">
        <v>173</v>
      </c>
      <c r="B28">
        <f>ROUND(AVERAGEIF(Q11:Q22,1,P11:P22),2)</f>
        <v>99.27</v>
      </c>
    </row>
    <row r="29" spans="1:18">
      <c r="A29" t="s">
        <v>174</v>
      </c>
      <c r="B29">
        <f>SUMIF(Q11:Q22,1,R11:R22)</f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Ringkasan</vt:lpstr>
      <vt:lpstr>197503141996031002</vt:lpstr>
      <vt:lpstr>198009202002121004</vt:lpstr>
      <vt:lpstr>198108022009122002</vt:lpstr>
      <vt:lpstr>198204262025211027</vt:lpstr>
      <vt:lpstr>198210062025211034</vt:lpstr>
      <vt:lpstr>198301042006042003</vt:lpstr>
      <vt:lpstr>198410092007042001</vt:lpstr>
      <vt:lpstr>198410212003122002</vt:lpstr>
      <vt:lpstr>198411192011011012</vt:lpstr>
      <vt:lpstr>198505092009041006</vt:lpstr>
      <vt:lpstr>198506052009042006</vt:lpstr>
      <vt:lpstr>198510102025211065</vt:lpstr>
      <vt:lpstr>198604122017122001</vt:lpstr>
      <vt:lpstr>198802022008051001</vt:lpstr>
      <vt:lpstr>199010082022031004</vt:lpstr>
      <vt:lpstr>199107132020121003</vt:lpstr>
      <vt:lpstr>199211132020122011</vt:lpstr>
      <vt:lpstr>199304112019032020</vt:lpstr>
      <vt:lpstr>199406072025211039</vt:lpstr>
      <vt:lpstr>199408302020122007</vt:lpstr>
      <vt:lpstr>199604102025062008</vt:lpstr>
      <vt:lpstr>199605112025212037</vt:lpstr>
      <vt:lpstr>199702012022031004</vt:lpstr>
      <vt:lpstr>199702232022032013</vt:lpstr>
      <vt:lpstr>199704162022032013</vt:lpstr>
      <vt:lpstr>199705312020121004</vt:lpstr>
      <vt:lpstr>199709082025061006</vt:lpstr>
      <vt:lpstr>199710252025062012</vt:lpstr>
      <vt:lpstr>199711202025212035</vt:lpstr>
      <vt:lpstr>199712262025062010</vt:lpstr>
      <vt:lpstr>200009242025062019</vt:lpstr>
      <vt:lpstr>200106132024052001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2026-01-17T00:25:09+00:00</dcterms:created>
  <dcterms:modified xsi:type="dcterms:W3CDTF">2026-01-17T00:25:09+00:00</dcterms:modified>
  <dc:title>Untitled Spreadsheet</dc:title>
  <dc:description/>
  <dc:subject/>
  <cp:keywords/>
  <cp:category/>
</cp:coreProperties>
</file>